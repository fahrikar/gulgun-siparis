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BuÇalışmaKitabı"/>
  <bookViews>
    <workbookView xWindow="-110" yWindow="-110" windowWidth="19420" windowHeight="11020" tabRatio="588"/>
  </bookViews>
  <sheets>
    <sheet name="SİPARİŞ FORMU" sheetId="1" r:id="rId1"/>
    <sheet name="ANA VERİLER" sheetId="2" state="hidden" r:id="rId2"/>
    <sheet name="GEÇERLİLİK" sheetId="5" state="hidden" r:id="rId3"/>
  </sheets>
  <definedNames>
    <definedName name="_xlnm._FilterDatabase" localSheetId="1" hidden="1">'ANA VERİLER'!$B$95:$C$95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9" i="1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4"/>
  <c r="Y5"/>
  <c r="Y6"/>
  <c r="Y7"/>
  <c r="Y8"/>
  <c r="G18" i="2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52"/>
  <c r="H52" s="1"/>
  <c r="G17"/>
  <c r="H17" s="1"/>
  <c r="E41"/>
  <c r="E35"/>
  <c r="E36"/>
  <c r="E37"/>
  <c r="E33"/>
  <c r="E26"/>
  <c r="E18"/>
  <c r="E19"/>
  <c r="E20"/>
  <c r="E21"/>
  <c r="E22"/>
  <c r="E23"/>
  <c r="E24"/>
  <c r="E25"/>
  <c r="E27"/>
  <c r="E28"/>
  <c r="E29"/>
  <c r="E30"/>
  <c r="E31"/>
  <c r="E32"/>
  <c r="E34"/>
  <c r="E38"/>
  <c r="E39"/>
  <c r="E40"/>
  <c r="E42"/>
  <c r="E43"/>
  <c r="E44"/>
  <c r="E45"/>
  <c r="E46"/>
  <c r="E47"/>
  <c r="E48"/>
  <c r="E49"/>
  <c r="E50"/>
  <c r="E51"/>
  <c r="E52"/>
  <c r="E17"/>
  <c r="T4" i="1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3"/>
  <c r="R4"/>
  <c r="R5"/>
  <c r="R6"/>
  <c r="R7"/>
  <c r="R8"/>
  <c r="R9"/>
  <c r="R10"/>
  <c r="R11"/>
  <c r="R3"/>
  <c r="Z37" l="1"/>
  <c r="Z49"/>
  <c r="Z14"/>
  <c r="Z33"/>
  <c r="Z25"/>
  <c r="Z24"/>
  <c r="Z12"/>
  <c r="Z48"/>
  <c r="Z47"/>
  <c r="Z35"/>
  <c r="Z23"/>
  <c r="Z11"/>
  <c r="Z36"/>
  <c r="Z46"/>
  <c r="Z34"/>
  <c r="Z22"/>
  <c r="Z10"/>
  <c r="Z21"/>
  <c r="Z9"/>
  <c r="Z45"/>
  <c r="Z44"/>
  <c r="Z32"/>
  <c r="Z20"/>
  <c r="Z8"/>
  <c r="Z43"/>
  <c r="Z31"/>
  <c r="Z19"/>
  <c r="Z7"/>
  <c r="Z42"/>
  <c r="Z30"/>
  <c r="Z18"/>
  <c r="Z6"/>
  <c r="Z13"/>
  <c r="Z41"/>
  <c r="Z29"/>
  <c r="Z17"/>
  <c r="Z5"/>
  <c r="Z52"/>
  <c r="Z40"/>
  <c r="Z28"/>
  <c r="Z16"/>
  <c r="Z4"/>
  <c r="Z51"/>
  <c r="Z39"/>
  <c r="Z27"/>
  <c r="Z15"/>
  <c r="Z50"/>
  <c r="Z38"/>
  <c r="Z26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Y3"/>
  <c r="Z3" l="1"/>
</calcChain>
</file>

<file path=xl/sharedStrings.xml><?xml version="1.0" encoding="utf-8"?>
<sst xmlns="http://schemas.openxmlformats.org/spreadsheetml/2006/main" count="419" uniqueCount="242">
  <si>
    <t>KALİTE</t>
  </si>
  <si>
    <t>DALGA</t>
  </si>
  <si>
    <t>RİL TİPİ</t>
  </si>
  <si>
    <t>LEVHA EN (mm)</t>
  </si>
  <si>
    <t>LEVHA BOY (mm)</t>
  </si>
  <si>
    <t>SİPARİŞ ADET</t>
  </si>
  <si>
    <t>SİPARİŞ TÜRÜ</t>
  </si>
  <si>
    <t>ÖDEME ŞEKLİ</t>
  </si>
  <si>
    <t>E</t>
  </si>
  <si>
    <t>B</t>
  </si>
  <si>
    <t>C</t>
  </si>
  <si>
    <t>EB</t>
  </si>
  <si>
    <t>BC</t>
  </si>
  <si>
    <t>RİLSİZ</t>
  </si>
  <si>
    <t>ERKEK - DÜZ</t>
  </si>
  <si>
    <t>YOK</t>
  </si>
  <si>
    <t>FSC</t>
  </si>
  <si>
    <t>MIX CREDIT</t>
  </si>
  <si>
    <t>SİPARİŞ BİLGİLERİ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</si>
  <si>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</si>
  <si>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</si>
  <si>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</si>
  <si>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</si>
  <si>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</si>
  <si>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</si>
  <si>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</si>
  <si>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</si>
  <si>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</si>
  <si>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</si>
  <si>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</si>
  <si>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</si>
  <si>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</si>
  <si>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</si>
  <si>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</si>
  <si>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</si>
  <si>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</si>
  <si>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</si>
  <si>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</si>
  <si>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</si>
  <si>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SEVK YERİ</t>
  </si>
  <si>
    <t>REFERANS SİPARİŞ NO</t>
  </si>
  <si>
    <t>RİL 1</t>
  </si>
  <si>
    <t>RİL 2</t>
  </si>
  <si>
    <t>RİL 3</t>
  </si>
  <si>
    <t>RİL 4</t>
  </si>
  <si>
    <t>RİL 5</t>
  </si>
  <si>
    <t>SAP</t>
  </si>
  <si>
    <t>RILSIZ</t>
  </si>
  <si>
    <t>ERKEKDUZ</t>
  </si>
  <si>
    <t>C060</t>
  </si>
  <si>
    <t>C075</t>
  </si>
  <si>
    <t>C090</t>
  </si>
  <si>
    <t>C120</t>
  </si>
  <si>
    <t>H000</t>
  </si>
  <si>
    <t>H007</t>
  </si>
  <si>
    <t>H030</t>
  </si>
  <si>
    <t>H045</t>
  </si>
  <si>
    <t>H060</t>
  </si>
  <si>
    <t>H075</t>
  </si>
  <si>
    <t>H090</t>
  </si>
  <si>
    <t>K030</t>
  </si>
  <si>
    <t>K060</t>
  </si>
  <si>
    <t>RİL 6</t>
  </si>
  <si>
    <t>RİL 7</t>
  </si>
  <si>
    <t>RİL 8</t>
  </si>
  <si>
    <t>TALEP EDİLEN TESLİM TARİHİ</t>
  </si>
  <si>
    <t>VADE</t>
  </si>
  <si>
    <t>Max. Levha Boyu (mm)</t>
  </si>
  <si>
    <t>Min. Levha Boyu (mm)</t>
  </si>
  <si>
    <t>Max. Levha Eni (mm)</t>
  </si>
  <si>
    <t>Min. Levha Eni (mm)</t>
  </si>
  <si>
    <t>Başlangıç Tarihi</t>
  </si>
  <si>
    <t>Bitiş Tarihi</t>
  </si>
  <si>
    <t>Referans No</t>
  </si>
  <si>
    <t>ÖLÇÜ BİLGİLERİ</t>
  </si>
  <si>
    <t>EVET</t>
  </si>
  <si>
    <t>HAYIR</t>
  </si>
  <si>
    <t>SAP RİLDE BASKI</t>
  </si>
  <si>
    <t>ÜRETİM YERİ</t>
  </si>
  <si>
    <t>ALTERNATİF BOBİN ENİ</t>
  </si>
  <si>
    <t>ÖNCELİK SIRASI</t>
  </si>
  <si>
    <t>SATIŞ ORGANİZASYONU</t>
  </si>
  <si>
    <t>FİYAT</t>
  </si>
  <si>
    <t>MAL GRUBU</t>
  </si>
  <si>
    <t>PLAKA - DÜZ PLAKA</t>
  </si>
  <si>
    <t>PLAKA - SIRTI AÇIK</t>
  </si>
  <si>
    <t>TANIM</t>
  </si>
  <si>
    <t>EB, BC dagalarda 4 kağıt varsa</t>
  </si>
  <si>
    <t>E, B, C dalgalarda 2 kağıt varsa</t>
  </si>
  <si>
    <t>AÇIKLAMA</t>
  </si>
  <si>
    <t>Aşağıdaki koşulların dışındaki tüm durumlar</t>
  </si>
  <si>
    <t>ÜRÜN KARTI TÜRÜ</t>
  </si>
  <si>
    <t>LVH</t>
  </si>
  <si>
    <t>C015</t>
  </si>
  <si>
    <t>C030</t>
  </si>
  <si>
    <t>C045</t>
  </si>
  <si>
    <t>C105</t>
  </si>
  <si>
    <t>C150</t>
  </si>
  <si>
    <t>H015</t>
  </si>
  <si>
    <t>H105</t>
  </si>
  <si>
    <t>H120</t>
  </si>
  <si>
    <t>H150</t>
  </si>
  <si>
    <t>S000</t>
  </si>
  <si>
    <t>S015</t>
  </si>
  <si>
    <t>S030</t>
  </si>
  <si>
    <t>S045</t>
  </si>
  <si>
    <t>S060</t>
  </si>
  <si>
    <t>K000</t>
  </si>
  <si>
    <t>K045</t>
  </si>
  <si>
    <t>K075</t>
  </si>
  <si>
    <t>K090</t>
  </si>
  <si>
    <t>K105</t>
  </si>
  <si>
    <t>K120</t>
  </si>
  <si>
    <t>K150</t>
  </si>
  <si>
    <t>BİRİM</t>
  </si>
  <si>
    <t>MÜŞTERİ ADI</t>
  </si>
  <si>
    <t>MÜŞTERİ KODU</t>
  </si>
  <si>
    <t>DAĞITIM KANALI</t>
  </si>
  <si>
    <t>STANDART SİPARİŞ</t>
  </si>
  <si>
    <t>LİSTE</t>
  </si>
  <si>
    <t>ÖZEL</t>
  </si>
  <si>
    <t>KALİTE GRUP</t>
  </si>
  <si>
    <t>İskonto Oran</t>
  </si>
  <si>
    <t>LİSTE FİYAT</t>
  </si>
  <si>
    <t>MÜŞTERİ İSKONTO ORAN</t>
  </si>
  <si>
    <t>İSKONTOLU FİYAT</t>
  </si>
  <si>
    <t>TAM KALİTE</t>
  </si>
  <si>
    <t>TRY</t>
  </si>
  <si>
    <t>PARA BİRİMİ</t>
  </si>
  <si>
    <t>DALGA BİLGİLERİ</t>
  </si>
  <si>
    <t>KALİTE GRUPLARI</t>
  </si>
  <si>
    <t>ALTERNATİF BOBİN ENLERİ</t>
  </si>
  <si>
    <t>RİL TİPLERİ</t>
  </si>
  <si>
    <t>ÜRETİM YERLERİ</t>
  </si>
  <si>
    <t>MAL GRUPLARI</t>
  </si>
  <si>
    <t>SİPARİŞ TÜRLERİ</t>
  </si>
  <si>
    <t>ÖDEME ŞEKİLLERİ</t>
  </si>
  <si>
    <t>ANA VERİLER</t>
  </si>
  <si>
    <t>GEÇERLİLİK VERİLERİ</t>
  </si>
  <si>
    <t>SİPARİŞ TÜRÜ SAP</t>
  </si>
  <si>
    <t>ZS01</t>
  </si>
  <si>
    <t>01</t>
  </si>
  <si>
    <t>C015 Müşteri Çeki 15 Gün Vade</t>
  </si>
  <si>
    <t>C030 Müşteri Çeki 30 Gün Vade</t>
  </si>
  <si>
    <t>C045 Müşteri Çeki 45 Gün Vade</t>
  </si>
  <si>
    <t>C060 Müşteri Çeki 60 Gün Vade</t>
  </si>
  <si>
    <t>C075 Müşteri Çeki 75 Gün Vade</t>
  </si>
  <si>
    <t>C090 Müşteri Çeki 90 Gün Vade</t>
  </si>
  <si>
    <t>C105 Müşteri Çeki 105 Gün Vade</t>
  </si>
  <si>
    <t>C120 Müşteri Çeki 120 Gün Vade</t>
  </si>
  <si>
    <t>C150 Müşteri Çeki 150 Gün Vade</t>
  </si>
  <si>
    <t>H000 Banka Peşin</t>
  </si>
  <si>
    <t>H007 Banka 7 Gün Vade</t>
  </si>
  <si>
    <t>H015 Banka 15 Gün Vade</t>
  </si>
  <si>
    <t>H030 Banka 30 Gün Vade</t>
  </si>
  <si>
    <t>H045 Banka 45 Gün Vade</t>
  </si>
  <si>
    <t>H060 Banka 60 Gün Vade</t>
  </si>
  <si>
    <t>H075 Banka 75 Gün Vade</t>
  </si>
  <si>
    <t>H090 Banka 90 Gün Vade</t>
  </si>
  <si>
    <t>H105 Banka 105 Gün Vade</t>
  </si>
  <si>
    <t>H120 Banka 120 Gün Vade</t>
  </si>
  <si>
    <t>H150 Banka 150 Gün Vade</t>
  </si>
  <si>
    <t>S000 Vesaik mukabili Peşin</t>
  </si>
  <si>
    <t>S015 Vesaik mukabili 15 Gün Vade</t>
  </si>
  <si>
    <t>S030 Vesaik mukabili 30 Gün Vade</t>
  </si>
  <si>
    <t>S045 Vesaik mukabili 45 Gün Vade</t>
  </si>
  <si>
    <t>S060 Vesaik mukabili 60 Gün Vade</t>
  </si>
  <si>
    <t>K000 Kredi Kartı Peşin</t>
  </si>
  <si>
    <t>K030 Kredi Kartı 30 Gün Vade</t>
  </si>
  <si>
    <t>K045 Kredi Kartı 45 Gün Vade</t>
  </si>
  <si>
    <t>K060 Kredi Kartı 60 Gün Vade</t>
  </si>
  <si>
    <t>K075 Kredi Kartı 75 Gün Vade</t>
  </si>
  <si>
    <t>K090 Kredi Kartı 90 Gün Vade</t>
  </si>
  <si>
    <t>K105 Kredi Kartı 105 Gün Vade</t>
  </si>
  <si>
    <t>K120 Kredi Kartı 120 Gün Vade</t>
  </si>
  <si>
    <t>K150 Kredi Kartı 150 Gün Vade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</si>
  <si>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</si>
  <si>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</si>
  <si>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</si>
  <si>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</si>
  <si>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</si>
  <si>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</si>
  <si>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</si>
  <si>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</si>
  <si>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</si>
  <si>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</si>
  <si>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</si>
  <si>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</si>
  <si>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</si>
  <si>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</si>
  <si>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</si>
  <si>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</si>
  <si>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</si>
  <si>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</si>
  <si>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</si>
  <si>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</si>
  <si>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</si>
  <si>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</si>
  <si>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</si>
  <si>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</si>
  <si>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</si>
  <si>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</si>
  <si>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</si>
  <si>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</si>
  <si>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</si>
  <si>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</si>
  <si>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LEVHA EN RİLSİZ (mm)</t>
  </si>
  <si>
    <t>KM100 HPFL100 KM100</t>
  </si>
  <si>
    <t>BTL110 HPFL80 TL80</t>
  </si>
  <si>
    <t>TL80 HPFL80 TL80</t>
  </si>
  <si>
    <t>KM100 HPFL135 KM100</t>
  </si>
  <si>
    <t>BTL110 HPFL115 KM100</t>
  </si>
  <si>
    <t>KM135 HPFL135 KM135</t>
  </si>
  <si>
    <t>BTL110 HPFL135 KM100</t>
  </si>
  <si>
    <t>TL80 HPFL80 HPFL80 HPFL80 TL80</t>
  </si>
  <si>
    <t>BTL110 HPFL80 HPFL80 HPFL80 TL80</t>
  </si>
  <si>
    <t>STD/GRM</t>
  </si>
  <si>
    <t>STD</t>
  </si>
  <si>
    <t>GRM</t>
  </si>
  <si>
    <t>HPFL80 HPFL80 HPFL80 TL80</t>
  </si>
  <si>
    <t>BTL110 HPFL115 HPFL80 HPFL115 KM100</t>
  </si>
  <si>
    <t>KM100 HPFL100 HPFL80 HPFL100 KM100</t>
  </si>
  <si>
    <t>KM135 HPFL115 HPFL80 HPFL115 KM135</t>
  </si>
  <si>
    <t>KM135 HPFL100 HPFL80 HPFL115 KM100</t>
  </si>
  <si>
    <t>KM100 HPFL80 HPFL80 HPFL80 KM100</t>
  </si>
  <si>
    <t>KM100 HPFL115 HPFL80 HPFL115 KM100</t>
  </si>
  <si>
    <t>KM135 HPFL115 HPFL80 HPFL135 KM100</t>
  </si>
  <si>
    <t>KM135 HPFL135 HPFL80 HPFL135 KM135</t>
  </si>
  <si>
    <t>KM135 HPFL135 HPFL135 HPFL135 KM135</t>
  </si>
  <si>
    <t>KM170 HPFL135 HPFL135 HPFL135 KM170</t>
  </si>
  <si>
    <t>BTL110 HPFL135 HPFL80 HPFL135 KM135</t>
  </si>
  <si>
    <t>İSKONTO ORANLARI</t>
  </si>
  <si>
    <t>SIRA NO</t>
  </si>
  <si>
    <t>MÜŞTERİ MALZEME NO</t>
  </si>
  <si>
    <t>1002</t>
  </si>
  <si>
    <t>NORMALOFSET</t>
  </si>
  <si>
    <t>NORMAL OFSET</t>
  </si>
  <si>
    <t>KM135 HPFL160 KM135</t>
  </si>
  <si>
    <t>01.05.2026</t>
  </si>
  <si>
    <t>31.05.2026</t>
  </si>
  <si>
    <t>ADANA</t>
  </si>
  <si>
    <t>BTL-HPFL-KM,110/115/80/115/100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</si>
</sst>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8"/>
      <name val="Calibri"/>
      <family val="2"/>
      <scheme val="minor"/>
    </font>
    <font>
      <b/>
      <u/>
      <sz val="14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vertical="top"/>
    </xf>
    <xf numFmtId="3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quotePrefix="1" applyBorder="1" applyProtection="1">
      <protection locked="0"/>
    </xf>
    <xf numFmtId="0" fontId="7" fillId="0" borderId="1" xfId="0" applyFont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0" fillId="0" borderId="2" xfId="0" applyBorder="1" applyProtection="1">
      <protection locked="0"/>
    </xf>
    <xf numFmtId="164" fontId="0" fillId="0" borderId="2" xfId="1" applyNumberFormat="1" applyFont="1" applyBorder="1" applyProtection="1">
      <protection locked="0"/>
    </xf>
    <xf numFmtId="165" fontId="0" fillId="0" borderId="1" xfId="0" applyNumberFormat="1" applyBorder="1"/>
    <xf numFmtId="43" fontId="0" fillId="0" borderId="1" xfId="1" applyFont="1" applyBorder="1"/>
    <xf numFmtId="9" fontId="0" fillId="0" borderId="1" xfId="1" applyNumberFormat="1" applyFont="1" applyBorder="1"/>
    <xf numFmtId="0" fontId="8" fillId="3" borderId="0" xfId="0" applyFont="1" applyFill="1"/>
    <xf numFmtId="49" fontId="0" fillId="0" borderId="2" xfId="0" quotePrefix="1" applyNumberFormat="1" applyBorder="1" applyAlignment="1">
      <alignment horizontal="center"/>
    </xf>
    <xf numFmtId="165" fontId="0" fillId="0" borderId="1" xfId="0" quotePrefix="1" applyNumberFormat="1" applyBorder="1"/>
    <xf numFmtId="0" fontId="0" fillId="0" borderId="1" xfId="0" quotePrefix="1" applyBorder="1"/>
    <xf numFmtId="0" fontId="0" fillId="0" borderId="0" xfId="0" applyProtection="1">
      <protection locked="0"/>
    </xf>
    <xf numFmtId="0" fontId="7" fillId="0" borderId="1" xfId="0" applyFont="1" applyBorder="1" applyProtection="1">
      <protection hidden="1"/>
    </xf>
    <xf numFmtId="43" fontId="0" fillId="0" borderId="5" xfId="1" applyFont="1" applyBorder="1" applyProtection="1">
      <protection hidden="1"/>
    </xf>
    <xf numFmtId="164" fontId="0" fillId="0" borderId="5" xfId="1" applyNumberFormat="1" applyFont="1" applyBorder="1" applyProtection="1">
      <protection hidden="1"/>
    </xf>
    <xf numFmtId="49" fontId="0" fillId="0" borderId="5" xfId="0" quotePrefix="1" applyNumberFormat="1" applyBorder="1" applyProtection="1">
      <protection locked="0"/>
    </xf>
    <xf numFmtId="49" fontId="0" fillId="0" borderId="2" xfId="0" quotePrefix="1" applyNumberFormat="1" applyBorder="1" applyProtection="1">
      <protection locked="0"/>
    </xf>
    <xf numFmtId="0" fontId="8" fillId="2" borderId="18" xfId="0" applyFont="1" applyFill="1" applyBorder="1"/>
    <xf numFmtId="0" fontId="8" fillId="2" borderId="19" xfId="0" applyFont="1" applyFill="1" applyBorder="1"/>
    <xf numFmtId="0" fontId="8" fillId="2" borderId="20" xfId="0" applyFont="1" applyFill="1" applyBorder="1"/>
    <xf numFmtId="49" fontId="0" fillId="0" borderId="3" xfId="0" quotePrefix="1" applyNumberFormat="1" applyBorder="1" applyAlignment="1">
      <alignment horizontal="center"/>
    </xf>
    <xf numFmtId="0" fontId="3" fillId="0" borderId="1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9" fontId="2" fillId="0" borderId="1" xfId="0" applyNumberFormat="1" applyFont="1" applyBorder="1"/>
    <xf numFmtId="0" fontId="2" fillId="0" borderId="1" xfId="0" applyFont="1" applyFill="1" applyBorder="1"/>
    <xf numFmtId="0" fontId="3" fillId="0" borderId="23" xfId="0" applyFont="1" applyBorder="1"/>
    <xf numFmtId="0" fontId="0" fillId="0" borderId="0" xfId="0" applyBorder="1" applyAlignment="1">
      <alignment vertical="top"/>
    </xf>
    <xf numFmtId="0" fontId="0" fillId="0" borderId="23" xfId="0" applyBorder="1"/>
    <xf numFmtId="0" fontId="0" fillId="0" borderId="5" xfId="0" applyBorder="1" applyAlignment="1">
      <alignment vertical="top"/>
    </xf>
    <xf numFmtId="0" fontId="7" fillId="0" borderId="19" xfId="0" applyFont="1" applyBorder="1" applyProtection="1">
      <protection locked="0"/>
    </xf>
    <xf numFmtId="0" fontId="0" fillId="0" borderId="19" xfId="0" applyBorder="1" applyProtection="1">
      <protection locked="0"/>
    </xf>
    <xf numFmtId="0" fontId="7" fillId="0" borderId="19" xfId="0" applyFont="1" applyBorder="1" applyProtection="1">
      <protection hidden="1"/>
    </xf>
    <xf numFmtId="49" fontId="0" fillId="0" borderId="19" xfId="0" quotePrefix="1" applyNumberFormat="1" applyBorder="1" applyProtection="1">
      <protection locked="0"/>
    </xf>
    <xf numFmtId="164" fontId="0" fillId="0" borderId="19" xfId="1" applyNumberFormat="1" applyFont="1" applyBorder="1" applyProtection="1">
      <protection locked="0"/>
    </xf>
    <xf numFmtId="43" fontId="0" fillId="0" borderId="19" xfId="1" applyFont="1" applyBorder="1" applyProtection="1">
      <protection hidden="1"/>
    </xf>
    <xf numFmtId="164" fontId="0" fillId="0" borderId="19" xfId="1" applyNumberFormat="1" applyFont="1" applyBorder="1" applyProtection="1">
      <protection hidden="1"/>
    </xf>
    <xf numFmtId="0" fontId="0" fillId="0" borderId="20" xfId="0" quotePrefix="1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" xfId="0" quotePrefix="1" applyBorder="1" applyProtection="1">
      <protection locked="0"/>
    </xf>
    <xf numFmtId="0" fontId="7" fillId="0" borderId="2" xfId="0" applyFont="1" applyBorder="1" applyProtection="1">
      <protection hidden="1"/>
    </xf>
    <xf numFmtId="43" fontId="0" fillId="0" borderId="26" xfId="1" applyFont="1" applyBorder="1" applyProtection="1">
      <protection hidden="1"/>
    </xf>
    <xf numFmtId="164" fontId="0" fillId="0" borderId="26" xfId="1" applyNumberFormat="1" applyFont="1" applyBorder="1" applyProtection="1">
      <protection hidden="1"/>
    </xf>
    <xf numFmtId="0" fontId="0" fillId="0" borderId="4" xfId="0" applyBorder="1" applyProtection="1">
      <protection locked="0"/>
    </xf>
    <xf numFmtId="0" fontId="0" fillId="0" borderId="2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27" xfId="0" applyBorder="1" applyProtection="1">
      <protection hidden="1"/>
    </xf>
    <xf numFmtId="3" fontId="0" fillId="0" borderId="20" xfId="0" applyNumberFormat="1" applyBorder="1" applyProtection="1">
      <protection locked="0"/>
    </xf>
    <xf numFmtId="3" fontId="0" fillId="0" borderId="25" xfId="0" applyNumberFormat="1" applyBorder="1" applyProtection="1">
      <protection locked="0"/>
    </xf>
    <xf numFmtId="3" fontId="0" fillId="0" borderId="4" xfId="0" applyNumberFormat="1" applyBorder="1" applyProtection="1">
      <protection locked="0"/>
    </xf>
    <xf numFmtId="0" fontId="4" fillId="0" borderId="7" xfId="0" applyFont="1" applyBorder="1" applyAlignment="1" applyProtection="1">
      <alignment horizontal="left" vertical="center"/>
    </xf>
    <xf numFmtId="0" fontId="4" fillId="0" borderId="28" xfId="0" applyFont="1" applyBorder="1" applyAlignment="1" applyProtection="1">
      <alignment horizontal="left" vertical="center"/>
    </xf>
    <xf numFmtId="0" fontId="4" fillId="0" borderId="29" xfId="0" applyFont="1" applyBorder="1" applyAlignment="1" applyProtection="1">
      <alignment horizontal="left" vertical="center"/>
    </xf>
    <xf numFmtId="0" fontId="4" fillId="0" borderId="30" xfId="0" applyFont="1" applyBorder="1" applyAlignment="1" applyProtection="1">
      <alignment horizontal="left" vertical="center"/>
    </xf>
    <xf numFmtId="0" fontId="4" fillId="0" borderId="31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vertical="center"/>
    </xf>
    <xf numFmtId="0" fontId="4" fillId="0" borderId="12" xfId="0" applyFont="1" applyBorder="1" applyAlignment="1" applyProtection="1">
      <alignment vertical="center"/>
    </xf>
    <xf numFmtId="0" fontId="4" fillId="0" borderId="12" xfId="0" applyFont="1" applyBorder="1" applyAlignment="1" applyProtection="1">
      <alignment vertical="center" wrapText="1"/>
    </xf>
    <xf numFmtId="0" fontId="4" fillId="0" borderId="14" xfId="0" applyFont="1" applyBorder="1" applyAlignment="1" applyProtection="1">
      <alignment vertical="center"/>
    </xf>
    <xf numFmtId="0" fontId="4" fillId="0" borderId="13" xfId="0" applyFont="1" applyBorder="1" applyAlignment="1" applyProtection="1">
      <alignment vertical="center" wrapText="1"/>
    </xf>
    <xf numFmtId="0" fontId="4" fillId="0" borderId="7" xfId="0" applyFont="1" applyBorder="1" applyAlignment="1" applyProtection="1">
      <alignment vertical="center" wrapText="1"/>
    </xf>
    <xf numFmtId="0" fontId="2" fillId="0" borderId="15" xfId="0" applyFont="1" applyBorder="1" applyProtection="1"/>
    <xf numFmtId="0" fontId="2" fillId="0" borderId="16" xfId="0" applyFont="1" applyBorder="1" applyProtection="1"/>
    <xf numFmtId="0" fontId="2" fillId="0" borderId="17" xfId="0" applyFont="1" applyBorder="1" applyProtection="1"/>
    <xf numFmtId="0" fontId="0" fillId="0" borderId="30" xfId="0" applyBorder="1" applyProtection="1">
      <protection locked="0"/>
    </xf>
    <xf numFmtId="0" fontId="7" fillId="0" borderId="18" xfId="0" applyFont="1" applyBorder="1" applyProtection="1">
      <protection locked="0"/>
    </xf>
    <xf numFmtId="0" fontId="7" fillId="0" borderId="32" xfId="0" applyFont="1" applyBorder="1" applyProtection="1">
      <protection locked="0"/>
    </xf>
    <xf numFmtId="0" fontId="0" fillId="0" borderId="32" xfId="0" applyBorder="1" applyProtection="1">
      <protection locked="0"/>
    </xf>
    <xf numFmtId="0" fontId="0" fillId="0" borderId="3" xfId="0" applyBorder="1" applyProtection="1">
      <protection locked="0"/>
    </xf>
    <xf numFmtId="0" fontId="0" fillId="4" borderId="33" xfId="0" applyFont="1" applyFill="1" applyBorder="1" applyAlignment="1" applyProtection="1">
      <alignment horizontal="center"/>
      <protection locked="0"/>
    </xf>
    <xf numFmtId="0" fontId="0" fillId="0" borderId="33" xfId="0" applyFont="1" applyBorder="1" applyAlignment="1" applyProtection="1">
      <alignment horizontal="center"/>
      <protection locked="0"/>
    </xf>
    <xf numFmtId="0" fontId="0" fillId="4" borderId="33" xfId="0" applyFill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8" fillId="3" borderId="8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</cellXfs>
  <cellStyles count="2">
    <cellStyle name="Binlik Ayracı" xfId="1" builtinId="3"/>
    <cellStyle name="Normal" xfId="0" builtinId="0"/>
  </cellStyles>
  <dxfs count="4">
    <dxf>
      <fill>
        <patternFill>
          <bgColor rgb="FFFF0000"/>
        </patternFill>
      </fill>
    </dxf>
    <dxf>
      <font>
        <color theme="0"/>
      </font>
    </dxf>
    <dxf>
      <font>
        <color theme="1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2</xdr:col>
      <xdr:colOff>39683</xdr:colOff>
      <xdr:row>0</xdr:row>
      <xdr:rowOff>569056</xdr:rowOff>
    </xdr:to>
    <xdr:pic>
      <xdr:nvPicPr>
        <xdr:cNvPr id="3" name="Resim 2">
          <a:extLst>
            <a:ext uri="{FF2B5EF4-FFF2-40B4-BE49-F238E27FC236}">
              <a16:creationId xmlns="" xmlns:a16="http://schemas.microsoft.com/office/drawing/2014/main" id="{2633E2A5-623E-9DE4-C997-39A59980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960"/>
          <a:ext cx="794063" cy="508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ayfa1"/>
  <dimension ref="B1:AC52"/>
  <sheetViews>
    <sheetView showGridLines="0" tabSelected="1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AA5" sqref="AA5"/>
    </sheetView>
  </sheetViews>
  <sheetFormatPr defaultColWidth="8.81640625" defaultRowHeight="14.5"/>
  <cols>
    <col min="1" max="1" width="2.36328125" style="20" customWidth="1"/>
    <col min="2" max="2" width="8.6328125" style="20" customWidth="1"/>
    <col min="3" max="3" width="19.453125" style="20" bestFit="1" customWidth="1"/>
    <col min="4" max="4" width="19.453125" style="20" customWidth="1"/>
    <col min="5" max="5" width="12" style="20" bestFit="1" customWidth="1"/>
    <col min="6" max="6" width="7.90625" style="20" customWidth="1"/>
    <col min="7" max="7" width="35.81640625" style="20" customWidth="1"/>
    <col min="8" max="8" width="16.90625" style="20" customWidth="1"/>
    <col min="9" max="9" width="5" style="20" customWidth="1"/>
    <col min="10" max="10" width="5.08984375" style="20" bestFit="1" customWidth="1"/>
    <col min="11" max="12" width="5" style="20" bestFit="1" customWidth="1"/>
    <col min="13" max="15" width="5" style="20" customWidth="1"/>
    <col min="16" max="16" width="6.1796875" style="20" customWidth="1"/>
    <col min="17" max="17" width="20.1796875" style="20" bestFit="1" customWidth="1"/>
    <col min="18" max="18" width="51.36328125" style="20" customWidth="1"/>
    <col min="19" max="19" width="15.6328125" style="20" bestFit="1" customWidth="1"/>
    <col min="20" max="20" width="16.453125" style="20" bestFit="1" customWidth="1"/>
    <col min="21" max="21" width="17.81640625" style="20" bestFit="1" customWidth="1"/>
    <col min="22" max="22" width="29" style="20" customWidth="1"/>
    <col min="23" max="23" width="13.453125" style="20" bestFit="1" customWidth="1"/>
    <col min="24" max="24" width="12.453125" style="20" bestFit="1" customWidth="1"/>
    <col min="25" max="25" width="7.81640625" style="20" bestFit="1" customWidth="1"/>
    <col min="26" max="26" width="6.08984375" style="20" bestFit="1" customWidth="1"/>
    <col min="27" max="27" width="10.6328125" style="20" bestFit="1" customWidth="1"/>
    <col min="28" max="28" width="12.6328125" style="20" customWidth="1"/>
    <col min="29" max="29" width="37.6328125" style="20" customWidth="1"/>
    <col min="30" max="16384" width="8.81640625" style="20"/>
  </cols>
  <sheetData>
    <row r="1" spans="2:29" ht="50" customHeight="1" thickBot="1">
      <c r="B1" s="82" t="s">
        <v>18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3"/>
    </row>
    <row r="2" spans="2:29" ht="29.5" thickBot="1">
      <c r="B2" s="60" t="s">
        <v>232</v>
      </c>
      <c r="C2" s="61" t="s">
        <v>116</v>
      </c>
      <c r="D2" s="62" t="s">
        <v>115</v>
      </c>
      <c r="E2" s="62" t="s">
        <v>121</v>
      </c>
      <c r="F2" s="63" t="s">
        <v>1</v>
      </c>
      <c r="G2" s="63" t="s">
        <v>0</v>
      </c>
      <c r="H2" s="63" t="s">
        <v>2</v>
      </c>
      <c r="I2" s="63" t="s">
        <v>41</v>
      </c>
      <c r="J2" s="63" t="s">
        <v>42</v>
      </c>
      <c r="K2" s="63" t="s">
        <v>43</v>
      </c>
      <c r="L2" s="63" t="s">
        <v>44</v>
      </c>
      <c r="M2" s="63" t="s">
        <v>45</v>
      </c>
      <c r="N2" s="63" t="s">
        <v>62</v>
      </c>
      <c r="O2" s="63" t="s">
        <v>63</v>
      </c>
      <c r="P2" s="63" t="s">
        <v>64</v>
      </c>
      <c r="Q2" s="63" t="s">
        <v>206</v>
      </c>
      <c r="R2" s="64" t="s">
        <v>3</v>
      </c>
      <c r="S2" s="60" t="s">
        <v>4</v>
      </c>
      <c r="T2" s="65" t="s">
        <v>6</v>
      </c>
      <c r="U2" s="66" t="s">
        <v>39</v>
      </c>
      <c r="V2" s="66" t="s">
        <v>66</v>
      </c>
      <c r="W2" s="67" t="s">
        <v>65</v>
      </c>
      <c r="X2" s="66" t="s">
        <v>5</v>
      </c>
      <c r="Y2" s="68" t="s">
        <v>82</v>
      </c>
      <c r="Z2" s="68" t="s">
        <v>114</v>
      </c>
      <c r="AA2" s="68" t="s">
        <v>16</v>
      </c>
      <c r="AB2" s="69" t="s">
        <v>40</v>
      </c>
      <c r="AC2" s="70" t="s">
        <v>233</v>
      </c>
    </row>
    <row r="3" spans="2:29">
      <c r="B3" s="71" t="s">
        <v>19</v>
      </c>
      <c r="C3" s="75"/>
      <c r="D3" s="39"/>
      <c r="E3" s="39"/>
      <c r="F3" s="40" t="s">
        <v>11</v>
      </c>
      <c r="G3" s="81" t="s">
        <v>241</v>
      </c>
      <c r="H3" s="40" t="s">
        <v>13</v>
      </c>
      <c r="I3" s="74"/>
      <c r="J3" s="74"/>
      <c r="K3" s="74"/>
      <c r="L3" s="74"/>
      <c r="M3" s="74"/>
      <c r="N3" s="74"/>
      <c r="O3" s="74"/>
      <c r="P3" s="74"/>
      <c r="Q3" s="40">
        <v>884</v>
      </c>
      <c r="R3" s="41">
        <f>IF(H3="","",IF(OR(H3&lt;&gt;"RİLSİZ",H3=" "),IF(AND(SUM(I3:P3)&gt;='ANA VERİLER'!$C$81,SUM(I3:P3)&lt;='ANA VERİLER'!$C$82),SUM(I3:P3),"Levha eni minimum 300 mm - maksimum 2.500 mm olmalıdır!"),Q3))</f>
        <v>884</v>
      </c>
      <c r="S3" s="57">
        <v>926</v>
      </c>
      <c r="T3" s="54" t="str">
        <f>+IF(E3&lt;&gt;"","STANDART SİPARİŞ","")</f>
        <v/>
      </c>
      <c r="U3" s="40" t="s">
        <v>240</v>
      </c>
      <c r="V3" s="40"/>
      <c r="W3" s="42"/>
      <c r="X3" s="43">
        <v>2500</v>
      </c>
      <c r="Y3" s="44" t="str">
        <f>+IFERROR(IF(E3="LİSTE",VLOOKUP(F3&amp;" "&amp;G3,'ANA VERİLER'!$E$16:$H$52,4,0)," ")," ")</f>
        <v xml:space="preserve"> </v>
      </c>
      <c r="Z3" s="45" t="str">
        <f>+IFERROR(VLOOKUP(F3&amp;" "&amp;G3,'ANA VERİLER'!$E$16:$I$52,5,0)," ")</f>
        <v xml:space="preserve"> </v>
      </c>
      <c r="AA3" s="40"/>
      <c r="AB3" s="40"/>
      <c r="AC3" s="46"/>
    </row>
    <row r="4" spans="2:29">
      <c r="B4" s="72" t="s">
        <v>20</v>
      </c>
      <c r="C4" s="76"/>
      <c r="D4" s="9"/>
      <c r="E4" s="9"/>
      <c r="F4" s="7"/>
      <c r="G4" s="80"/>
      <c r="H4" s="7"/>
      <c r="I4" s="7"/>
      <c r="J4" s="7"/>
      <c r="K4" s="7"/>
      <c r="L4" s="7"/>
      <c r="M4" s="7"/>
      <c r="N4" s="7"/>
      <c r="O4" s="7"/>
      <c r="P4" s="7"/>
      <c r="Q4" s="7"/>
      <c r="R4" s="21" t="str">
        <f>IF(H4="","",IF(OR(H4&lt;&gt;"RİLSİZ",H4=" "),IF(AND(SUM(I4:P4)&gt;='ANA VERİLER'!$C$81,SUM(I4:P4)&lt;='ANA VERİLER'!$C$82),SUM(I4:P4),"Levha eni minimum 300 mm - maksimum 2.500 mm olmalıdır!"),Q4))</f>
        <v/>
      </c>
      <c r="S4" s="58"/>
      <c r="T4" s="55" t="str">
        <f t="shared" ref="T4:T52" si="0">+IF(E4&lt;&gt;"","STANDART SİPARİŞ","")</f>
        <v/>
      </c>
      <c r="U4" s="7"/>
      <c r="V4" s="7"/>
      <c r="W4" s="24"/>
      <c r="X4" s="10"/>
      <c r="Y4" s="22" t="str">
        <f>+IFERROR(IF(E4="LİSTE",VLOOKUP(F4&amp;" "&amp;G4,'ANA VERİLER'!$E$16:$H$52,4,0)," ")," ")</f>
        <v xml:space="preserve"> </v>
      </c>
      <c r="Z4" s="23" t="str">
        <f>+IFERROR(VLOOKUP(F4&amp;" "&amp;G4,'ANA VERİLER'!$E$16:$I$52,5,0)," ")</f>
        <v xml:space="preserve"> </v>
      </c>
      <c r="AA4" s="7"/>
      <c r="AB4" s="7"/>
      <c r="AC4" s="47"/>
    </row>
    <row r="5" spans="2:29">
      <c r="B5" s="72" t="s">
        <v>21</v>
      </c>
      <c r="C5" s="76"/>
      <c r="D5" s="9"/>
      <c r="E5" s="9"/>
      <c r="F5" s="7"/>
      <c r="G5" s="79"/>
      <c r="H5" s="7"/>
      <c r="I5" s="7"/>
      <c r="J5" s="7"/>
      <c r="K5" s="7"/>
      <c r="L5" s="7"/>
      <c r="M5" s="7"/>
      <c r="N5" s="7"/>
      <c r="O5" s="7"/>
      <c r="P5" s="7"/>
      <c r="Q5" s="7"/>
      <c r="R5" s="21" t="str">
        <f>IF(H5="","",IF(OR(H5&lt;&gt;"RİLSİZ",H5=" "),IF(AND(SUM(I5:P5)&gt;='ANA VERİLER'!$C$81,SUM(I5:P5)&lt;='ANA VERİLER'!$C$82),SUM(I5:P5),"Levha eni minimum 300 mm - maksimum 2.500 mm olmalıdır!"),Q5))</f>
        <v/>
      </c>
      <c r="S5" s="58"/>
      <c r="T5" s="55" t="str">
        <f t="shared" si="0"/>
        <v/>
      </c>
      <c r="U5" s="7"/>
      <c r="V5" s="7"/>
      <c r="W5" s="24"/>
      <c r="X5" s="10"/>
      <c r="Y5" s="22" t="str">
        <f>+IFERROR(IF(E5="LİSTE",VLOOKUP(F5&amp;" "&amp;G5,'ANA VERİLER'!$E$16:$H$52,4,0)," ")," ")</f>
        <v xml:space="preserve"> </v>
      </c>
      <c r="Z5" s="23" t="str">
        <f>+IFERROR(VLOOKUP(F5&amp;" "&amp;G5,'ANA VERİLER'!$E$16:$I$52,5,0)," ")</f>
        <v xml:space="preserve"> </v>
      </c>
      <c r="AA5" s="7"/>
      <c r="AB5" s="7"/>
      <c r="AC5" s="47"/>
    </row>
    <row r="6" spans="2:29">
      <c r="B6" s="72" t="s">
        <v>22</v>
      </c>
      <c r="C6" s="76"/>
      <c r="D6" s="9"/>
      <c r="E6" s="9"/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21" t="str">
        <f>IF(H6="","",IF(OR(H6&lt;&gt;"RİLSİZ",H6=" "),IF(AND(SUM(I6:P6)&gt;='ANA VERİLER'!$C$81,SUM(I6:P6)&lt;='ANA VERİLER'!$C$82),SUM(I6:P6),"Levha eni minimum 300 mm - maksimum 2.500 mm olmalıdır!"),Q6))</f>
        <v/>
      </c>
      <c r="S6" s="58"/>
      <c r="T6" s="55" t="str">
        <f t="shared" si="0"/>
        <v/>
      </c>
      <c r="U6" s="7"/>
      <c r="V6" s="7"/>
      <c r="W6" s="24"/>
      <c r="X6" s="10"/>
      <c r="Y6" s="22" t="str">
        <f>+IFERROR(IF(E6="LİSTE",VLOOKUP(F6&amp;" "&amp;G6,'ANA VERİLER'!$E$16:$H$52,4,0)," ")," ")</f>
        <v xml:space="preserve"> </v>
      </c>
      <c r="Z6" s="23" t="str">
        <f>+IFERROR(VLOOKUP(F6&amp;" "&amp;G6,'ANA VERİLER'!$E$16:$I$52,5,0)," ")</f>
        <v xml:space="preserve"> </v>
      </c>
      <c r="AA6" s="7"/>
      <c r="AB6" s="7"/>
      <c r="AC6" s="48"/>
    </row>
    <row r="7" spans="2:29">
      <c r="B7" s="72" t="s">
        <v>23</v>
      </c>
      <c r="C7" s="76"/>
      <c r="D7" s="9"/>
      <c r="E7" s="9"/>
      <c r="F7" s="7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21" t="str">
        <f>IF(H7="","",IF(OR(H7&lt;&gt;"RİLSİZ",H7=" "),IF(AND(SUM(I7:P7)&gt;='ANA VERİLER'!$C$81,SUM(I7:P7)&lt;='ANA VERİLER'!$C$82),SUM(I7:P7),"Levha eni minimum 300 mm - maksimum 2.500 mm olmalıdır!"),Q7))</f>
        <v/>
      </c>
      <c r="S7" s="58"/>
      <c r="T7" s="55" t="str">
        <f t="shared" si="0"/>
        <v/>
      </c>
      <c r="U7" s="7"/>
      <c r="V7" s="7"/>
      <c r="W7" s="24"/>
      <c r="X7" s="10"/>
      <c r="Y7" s="22" t="str">
        <f>+IFERROR(IF(E7="LİSTE",VLOOKUP(F7&amp;" "&amp;G7,'ANA VERİLER'!$E$16:$H$52,4,0)," ")," ")</f>
        <v xml:space="preserve"> </v>
      </c>
      <c r="Z7" s="23" t="str">
        <f>+IFERROR(VLOOKUP(F7&amp;" "&amp;G7,'ANA VERİLER'!$E$16:$I$52,5,0)," ")</f>
        <v xml:space="preserve"> </v>
      </c>
      <c r="AA7" s="7"/>
      <c r="AB7" s="7"/>
      <c r="AC7" s="48"/>
    </row>
    <row r="8" spans="2:29">
      <c r="B8" s="72" t="s">
        <v>24</v>
      </c>
      <c r="C8" s="77"/>
      <c r="D8" s="7"/>
      <c r="E8" s="7"/>
      <c r="F8" s="7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21" t="str">
        <f>IF(H8="","",IF(OR(H8&lt;&gt;"RİLSİZ",H8=" "),IF(AND(SUM(I8:P8)&gt;='ANA VERİLER'!$C$81,SUM(I8:P8)&lt;='ANA VERİLER'!$C$82),SUM(I8:P8),"Levha eni minimum 300 mm - maksimum 2.500 mm olmalıdır!"),Q8))</f>
        <v/>
      </c>
      <c r="S8" s="58"/>
      <c r="T8" s="55" t="str">
        <f t="shared" si="0"/>
        <v/>
      </c>
      <c r="U8" s="7"/>
      <c r="V8" s="7"/>
      <c r="W8" s="24"/>
      <c r="X8" s="10"/>
      <c r="Y8" s="22" t="str">
        <f>+IFERROR(IF(E8="LİSTE",VLOOKUP(F8&amp;" "&amp;G8,'ANA VERİLER'!$E$16:$H$52,4,0)," ")," ")</f>
        <v xml:space="preserve"> </v>
      </c>
      <c r="Z8" s="23" t="str">
        <f>+IFERROR(VLOOKUP(F8&amp;" "&amp;G8,'ANA VERİLER'!$E$16:$I$52,5,0)," ")</f>
        <v xml:space="preserve"> </v>
      </c>
      <c r="AA8" s="7"/>
      <c r="AB8" s="7"/>
      <c r="AC8" s="48"/>
    </row>
    <row r="9" spans="2:29">
      <c r="B9" s="72" t="s">
        <v>25</v>
      </c>
      <c r="C9" s="77"/>
      <c r="D9" s="7"/>
      <c r="E9" s="7"/>
      <c r="F9" s="7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21" t="str">
        <f>IF(H9="","",IF(OR(H9&lt;&gt;"RİLSİZ",H9=" "),IF(AND(SUM(I9:P9)&gt;='ANA VERİLER'!$C$81,SUM(I9:P9)&lt;='ANA VERİLER'!$C$82),SUM(I9:P9),"Levha eni minimum 300 mm - maksimum 2.500 mm olmalıdır!"),Q9))</f>
        <v/>
      </c>
      <c r="S9" s="58"/>
      <c r="T9" s="55" t="str">
        <f t="shared" si="0"/>
        <v/>
      </c>
      <c r="U9" s="7"/>
      <c r="V9" s="7"/>
      <c r="W9" s="24"/>
      <c r="X9" s="10"/>
      <c r="Y9" s="22" t="str">
        <f>+IFERROR(IF(E9="LİSTE",VLOOKUP(F9&amp;" "&amp;G9,'ANA VERİLER'!$E$16:$H$52,4,0)," ")," ")</f>
        <v xml:space="preserve"> </v>
      </c>
      <c r="Z9" s="23" t="str">
        <f>+IFERROR(VLOOKUP(F9&amp;" "&amp;G9,'ANA VERİLER'!$E$16:$I$52,5,0)," ")</f>
        <v xml:space="preserve"> </v>
      </c>
      <c r="AA9" s="7"/>
      <c r="AB9" s="7"/>
      <c r="AC9" s="48"/>
    </row>
    <row r="10" spans="2:29">
      <c r="B10" s="72" t="s">
        <v>26</v>
      </c>
      <c r="C10" s="77"/>
      <c r="D10" s="7"/>
      <c r="E10" s="7"/>
      <c r="F10" s="7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21" t="str">
        <f>IF(H10="","",IF(OR(H10&lt;&gt;"RİLSİZ",H10=" "),IF(AND(SUM(I10:P10)&gt;='ANA VERİLER'!$C$81,SUM(I10:P10)&lt;='ANA VERİLER'!$C$82),SUM(I10:P10),"Levha eni minimum 300 mm - maksimum 2.500 mm olmalıdır!"),Q10))</f>
        <v/>
      </c>
      <c r="S10" s="58"/>
      <c r="T10" s="55" t="str">
        <f t="shared" si="0"/>
        <v/>
      </c>
      <c r="U10" s="7"/>
      <c r="V10" s="7"/>
      <c r="W10" s="24"/>
      <c r="X10" s="10"/>
      <c r="Y10" s="22" t="str">
        <f>+IFERROR(IF(E10="LİSTE",VLOOKUP(F10&amp;" "&amp;G10,'ANA VERİLER'!$E$16:$H$52,4,0)," ")," ")</f>
        <v xml:space="preserve"> </v>
      </c>
      <c r="Z10" s="23" t="str">
        <f>+IFERROR(VLOOKUP(F10&amp;" "&amp;G10,'ANA VERİLER'!$E$16:$I$52,5,0)," ")</f>
        <v xml:space="preserve"> </v>
      </c>
      <c r="AA10" s="7"/>
      <c r="AB10" s="7"/>
      <c r="AC10" s="48"/>
    </row>
    <row r="11" spans="2:29">
      <c r="B11" s="72" t="s">
        <v>27</v>
      </c>
      <c r="C11" s="7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21" t="str">
        <f>IF(H11="","",IF(OR(H11&lt;&gt;"RİLSİZ",H11=" "),IF(AND(SUM(I11:P11)&gt;='ANA VERİLER'!$C$81,SUM(I11:P11)&lt;='ANA VERİLER'!$C$82),SUM(I11:P11),"Levha eni minimum 300 mm - maksimum 2.500 mm olmalıdır!"),Q11))</f>
        <v/>
      </c>
      <c r="S11" s="58"/>
      <c r="T11" s="55" t="str">
        <f t="shared" si="0"/>
        <v/>
      </c>
      <c r="U11" s="7"/>
      <c r="V11" s="7"/>
      <c r="W11" s="24"/>
      <c r="X11" s="10"/>
      <c r="Y11" s="22" t="str">
        <f>+IFERROR(IF(E11="LİSTE",VLOOKUP(F11&amp;" "&amp;G11,'ANA VERİLER'!$E$16:$H$52,4,0)," ")," ")</f>
        <v xml:space="preserve"> </v>
      </c>
      <c r="Z11" s="23" t="str">
        <f>+IFERROR(VLOOKUP(F11&amp;" "&amp;G11,'ANA VERİLER'!$E$16:$I$52,5,0)," ")</f>
        <v xml:space="preserve"> </v>
      </c>
      <c r="AA11" s="7"/>
      <c r="AB11" s="7"/>
      <c r="AC11" s="48"/>
    </row>
    <row r="12" spans="2:29">
      <c r="B12" s="72" t="s">
        <v>28</v>
      </c>
      <c r="C12" s="77"/>
      <c r="D12" s="7"/>
      <c r="E12" s="7"/>
      <c r="F12" s="7"/>
      <c r="G12" s="8"/>
      <c r="H12" s="7"/>
      <c r="I12" s="7"/>
      <c r="J12" s="7"/>
      <c r="K12" s="7"/>
      <c r="L12" s="7"/>
      <c r="M12" s="7"/>
      <c r="O12" s="7"/>
      <c r="P12" s="7"/>
      <c r="Q12" s="7"/>
      <c r="R12" s="21" t="str">
        <f>IF(H12="","",IF(OR(H12&lt;&gt;"RİLSİZ",H12=" "),IF(AND(SUM(I12:P12)&gt;='ANA VERİLER'!$C$81,SUM(I12:P12)&lt;='ANA VERİLER'!$C$82),SUM(I12:P12),"Levha eni minimum 300 mm - maksimum 2.500 mm olmalıdır!"),Q12))</f>
        <v/>
      </c>
      <c r="S12" s="58"/>
      <c r="T12" s="55" t="str">
        <f t="shared" si="0"/>
        <v/>
      </c>
      <c r="U12" s="7"/>
      <c r="V12" s="7"/>
      <c r="W12" s="24"/>
      <c r="X12" s="10"/>
      <c r="Y12" s="22" t="str">
        <f>+IFERROR(IF(E12="LİSTE",VLOOKUP(F12&amp;" "&amp;G12,'ANA VERİLER'!$E$16:$H$52,4,0)," ")," ")</f>
        <v xml:space="preserve"> </v>
      </c>
      <c r="Z12" s="23" t="str">
        <f>+IFERROR(VLOOKUP(F12&amp;" "&amp;G12,'ANA VERİLER'!$E$16:$I$52,5,0)," ")</f>
        <v xml:space="preserve"> </v>
      </c>
      <c r="AA12" s="7"/>
      <c r="AB12" s="7"/>
      <c r="AC12" s="48"/>
    </row>
    <row r="13" spans="2:29">
      <c r="B13" s="72" t="s">
        <v>29</v>
      </c>
      <c r="C13" s="77"/>
      <c r="D13" s="7"/>
      <c r="E13" s="7"/>
      <c r="F13" s="7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21" t="str">
        <f>IF(H13="","",IF(OR(H13&lt;&gt;"RİLSİZ",H13=" "),IF(AND(SUM(I13:P13)&gt;='ANA VERİLER'!$C$81,SUM(I13:P13)&lt;='ANA VERİLER'!$C$82),SUM(I13:P13),"Levha eni minimum 300 mm - maksimum 2.500 mm olmalıdır!"),Q13))</f>
        <v/>
      </c>
      <c r="S13" s="58"/>
      <c r="T13" s="55" t="str">
        <f t="shared" si="0"/>
        <v/>
      </c>
      <c r="U13" s="7"/>
      <c r="V13" s="7"/>
      <c r="W13" s="24"/>
      <c r="X13" s="10"/>
      <c r="Y13" s="22" t="str">
        <f>+IFERROR(IF(E13="LİSTE",VLOOKUP(F13&amp;" "&amp;G13,'ANA VERİLER'!$E$16:$H$52,4,0)," ")," ")</f>
        <v xml:space="preserve"> </v>
      </c>
      <c r="Z13" s="23" t="str">
        <f>+IFERROR(VLOOKUP(F13&amp;" "&amp;G13,'ANA VERİLER'!$E$16:$I$52,5,0)," ")</f>
        <v xml:space="preserve"> </v>
      </c>
      <c r="AA13" s="7"/>
      <c r="AB13" s="7"/>
      <c r="AC13" s="48"/>
    </row>
    <row r="14" spans="2:29">
      <c r="B14" s="72" t="s">
        <v>30</v>
      </c>
      <c r="C14" s="77"/>
      <c r="D14" s="7"/>
      <c r="E14" s="7"/>
      <c r="F14" s="7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21" t="str">
        <f>IF(H14="","",IF(OR(H14&lt;&gt;"RİLSİZ",H14=" "),IF(AND(SUM(I14:P14)&gt;='ANA VERİLER'!$C$81,SUM(I14:P14)&lt;='ANA VERİLER'!$C$82),SUM(I14:P14),"Levha eni minimum 300 mm - maksimum 2.500 mm olmalıdır!"),Q14))</f>
        <v/>
      </c>
      <c r="S14" s="58"/>
      <c r="T14" s="55" t="str">
        <f t="shared" si="0"/>
        <v/>
      </c>
      <c r="U14" s="7"/>
      <c r="V14" s="7"/>
      <c r="W14" s="24"/>
      <c r="X14" s="10"/>
      <c r="Y14" s="22" t="str">
        <f>+IFERROR(IF(E14="LİSTE",VLOOKUP(F14&amp;" "&amp;G14,'ANA VERİLER'!$E$16:$H$52,4,0)," ")," ")</f>
        <v xml:space="preserve"> </v>
      </c>
      <c r="Z14" s="23" t="str">
        <f>+IFERROR(VLOOKUP(F14&amp;" "&amp;G14,'ANA VERİLER'!$E$16:$I$52,5,0)," ")</f>
        <v xml:space="preserve"> </v>
      </c>
      <c r="AA14" s="7"/>
      <c r="AB14" s="7"/>
      <c r="AC14" s="48"/>
    </row>
    <row r="15" spans="2:29">
      <c r="B15" s="72" t="s">
        <v>31</v>
      </c>
      <c r="C15" s="77"/>
      <c r="D15" s="7"/>
      <c r="E15" s="7"/>
      <c r="F15" s="7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21" t="str">
        <f>IF(H15="","",IF(OR(H15&lt;&gt;"RİLSİZ",H15=" "),IF(AND(SUM(I15:P15)&gt;='ANA VERİLER'!$C$81,SUM(I15:P15)&lt;='ANA VERİLER'!$C$82),SUM(I15:P15),"Levha eni minimum 300 mm - maksimum 2.500 mm olmalıdır!"),Q15))</f>
        <v/>
      </c>
      <c r="S15" s="58"/>
      <c r="T15" s="55" t="str">
        <f t="shared" si="0"/>
        <v/>
      </c>
      <c r="U15" s="7"/>
      <c r="V15" s="7"/>
      <c r="W15" s="24"/>
      <c r="X15" s="10"/>
      <c r="Y15" s="22" t="str">
        <f>+IFERROR(IF(E15="LİSTE",VLOOKUP(F15&amp;" "&amp;G15,'ANA VERİLER'!$E$16:$H$52,4,0)," ")," ")</f>
        <v xml:space="preserve"> </v>
      </c>
      <c r="Z15" s="23" t="str">
        <f>+IFERROR(VLOOKUP(F15&amp;" "&amp;G15,'ANA VERİLER'!$E$16:$I$52,5,0)," ")</f>
        <v xml:space="preserve"> </v>
      </c>
      <c r="AA15" s="7"/>
      <c r="AB15" s="7"/>
      <c r="AC15" s="48"/>
    </row>
    <row r="16" spans="2:29">
      <c r="B16" s="72" t="s">
        <v>32</v>
      </c>
      <c r="C16" s="77"/>
      <c r="D16" s="7"/>
      <c r="E16" s="7"/>
      <c r="F16" s="7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21" t="str">
        <f>IF(H16="","",IF(OR(H16&lt;&gt;"RİLSİZ",H16=" "),IF(AND(SUM(I16:P16)&gt;='ANA VERİLER'!$C$81,SUM(I16:P16)&lt;='ANA VERİLER'!$C$82),SUM(I16:P16),"Levha eni minimum 300 mm - maksimum 2.500 mm olmalıdır!"),Q16))</f>
        <v/>
      </c>
      <c r="S16" s="58"/>
      <c r="T16" s="55" t="str">
        <f t="shared" si="0"/>
        <v/>
      </c>
      <c r="U16" s="7"/>
      <c r="V16" s="7"/>
      <c r="W16" s="24"/>
      <c r="X16" s="10"/>
      <c r="Y16" s="22" t="str">
        <f>+IFERROR(IF(E16="LİSTE",VLOOKUP(F16&amp;" "&amp;G16,'ANA VERİLER'!$E$16:$H$52,4,0)," ")," ")</f>
        <v xml:space="preserve"> </v>
      </c>
      <c r="Z16" s="23" t="str">
        <f>+IFERROR(VLOOKUP(F16&amp;" "&amp;G16,'ANA VERİLER'!$E$16:$I$52,5,0)," ")</f>
        <v xml:space="preserve"> </v>
      </c>
      <c r="AA16" s="7"/>
      <c r="AB16" s="7"/>
      <c r="AC16" s="48"/>
    </row>
    <row r="17" spans="2:29">
      <c r="B17" s="72" t="s">
        <v>33</v>
      </c>
      <c r="C17" s="77"/>
      <c r="D17" s="7"/>
      <c r="E17" s="7"/>
      <c r="F17" s="7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21" t="str">
        <f>IF(H17="","",IF(OR(H17&lt;&gt;"RİLSİZ",H17=" "),IF(AND(SUM(I17:P17)&gt;='ANA VERİLER'!$C$81,SUM(I17:P17)&lt;='ANA VERİLER'!$C$82),SUM(I17:P17),"Levha eni minimum 300 mm - maksimum 2.500 mm olmalıdır!"),Q17))</f>
        <v/>
      </c>
      <c r="S17" s="58"/>
      <c r="T17" s="55" t="str">
        <f t="shared" si="0"/>
        <v/>
      </c>
      <c r="U17" s="7"/>
      <c r="V17" s="7"/>
      <c r="W17" s="24"/>
      <c r="X17" s="10"/>
      <c r="Y17" s="22" t="str">
        <f>+IFERROR(IF(E17="LİSTE",VLOOKUP(F17&amp;" "&amp;G17,'ANA VERİLER'!$E$16:$H$52,4,0)," ")," ")</f>
        <v xml:space="preserve"> </v>
      </c>
      <c r="Z17" s="23" t="str">
        <f>+IFERROR(VLOOKUP(F17&amp;" "&amp;G17,'ANA VERİLER'!$E$16:$I$52,5,0)," ")</f>
        <v xml:space="preserve"> </v>
      </c>
      <c r="AA17" s="7"/>
      <c r="AB17" s="7"/>
      <c r="AC17" s="48"/>
    </row>
    <row r="18" spans="2:29">
      <c r="B18" s="72" t="s">
        <v>34</v>
      </c>
      <c r="C18" s="77"/>
      <c r="D18" s="7"/>
      <c r="E18" s="7"/>
      <c r="F18" s="7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21" t="str">
        <f>IF(H18="","",IF(OR(H18&lt;&gt;"RİLSİZ",H18=" "),IF(AND(SUM(I18:P18)&gt;='ANA VERİLER'!$C$81,SUM(I18:P18)&lt;='ANA VERİLER'!$C$82),SUM(I18:P18),"Levha eni minimum 300 mm - maksimum 2.500 mm olmalıdır!"),Q18))</f>
        <v/>
      </c>
      <c r="S18" s="58"/>
      <c r="T18" s="55" t="str">
        <f t="shared" si="0"/>
        <v/>
      </c>
      <c r="U18" s="7"/>
      <c r="V18" s="7"/>
      <c r="W18" s="24"/>
      <c r="X18" s="10"/>
      <c r="Y18" s="22" t="str">
        <f>+IFERROR(IF(E18="LİSTE",VLOOKUP(F18&amp;" "&amp;G18,'ANA VERİLER'!$E$16:$H$52,4,0)," ")," ")</f>
        <v xml:space="preserve"> </v>
      </c>
      <c r="Z18" s="23" t="str">
        <f>+IFERROR(VLOOKUP(F18&amp;" "&amp;G18,'ANA VERİLER'!$E$16:$I$52,5,0)," ")</f>
        <v xml:space="preserve"> </v>
      </c>
      <c r="AA18" s="10"/>
      <c r="AB18" s="7"/>
      <c r="AC18" s="48"/>
    </row>
    <row r="19" spans="2:29">
      <c r="B19" s="72" t="s">
        <v>35</v>
      </c>
      <c r="C19" s="77"/>
      <c r="D19" s="7"/>
      <c r="E19" s="7"/>
      <c r="F19" s="7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21" t="str">
        <f>IF(H19="","",IF(OR(H19&lt;&gt;"RİLSİZ",H19=" "),IF(AND(SUM(I19:P19)&gt;='ANA VERİLER'!$C$81,SUM(I19:P19)&lt;='ANA VERİLER'!$C$82),SUM(I19:P19),"Levha eni minimum 300 mm - maksimum 2.500 mm olmalıdır!"),Q19))</f>
        <v/>
      </c>
      <c r="S19" s="58"/>
      <c r="T19" s="55" t="str">
        <f t="shared" si="0"/>
        <v/>
      </c>
      <c r="U19" s="7"/>
      <c r="V19" s="7"/>
      <c r="W19" s="24"/>
      <c r="X19" s="10"/>
      <c r="Y19" s="22" t="str">
        <f>+IFERROR(IF(E19="LİSTE",VLOOKUP(F19&amp;" "&amp;G19,'ANA VERİLER'!$E$16:$H$52,4,0)," ")," ")</f>
        <v xml:space="preserve"> </v>
      </c>
      <c r="Z19" s="23" t="str">
        <f>+IFERROR(VLOOKUP(F19&amp;" "&amp;G19,'ANA VERİLER'!$E$16:$I$52,5,0)," ")</f>
        <v xml:space="preserve"> </v>
      </c>
      <c r="AA19" s="10"/>
      <c r="AB19" s="7"/>
      <c r="AC19" s="48"/>
    </row>
    <row r="20" spans="2:29">
      <c r="B20" s="72" t="s">
        <v>36</v>
      </c>
      <c r="C20" s="77"/>
      <c r="D20" s="7"/>
      <c r="E20" s="7"/>
      <c r="F20" s="7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21" t="str">
        <f>IF(H20="","",IF(OR(H20&lt;&gt;"RİLSİZ",H20=" "),IF(AND(SUM(I20:P20)&gt;='ANA VERİLER'!$C$81,SUM(I20:P20)&lt;='ANA VERİLER'!$C$82),SUM(I20:P20),"Levha eni minimum 300 mm - maksimum 2.500 mm olmalıdır!"),Q20))</f>
        <v/>
      </c>
      <c r="S20" s="58"/>
      <c r="T20" s="55" t="str">
        <f t="shared" si="0"/>
        <v/>
      </c>
      <c r="U20" s="7"/>
      <c r="V20" s="7"/>
      <c r="W20" s="24"/>
      <c r="X20" s="10"/>
      <c r="Y20" s="22" t="str">
        <f>+IFERROR(IF(E20="LİSTE",VLOOKUP(F20&amp;" "&amp;G20,'ANA VERİLER'!$E$16:$H$52,4,0)," ")," ")</f>
        <v xml:space="preserve"> </v>
      </c>
      <c r="Z20" s="23" t="str">
        <f>+IFERROR(VLOOKUP(F20&amp;" "&amp;G20,'ANA VERİLER'!$E$16:$I$52,5,0)," ")</f>
        <v xml:space="preserve"> </v>
      </c>
      <c r="AA20" s="7"/>
      <c r="AB20" s="7"/>
      <c r="AC20" s="48"/>
    </row>
    <row r="21" spans="2:29">
      <c r="B21" s="72" t="s">
        <v>37</v>
      </c>
      <c r="C21" s="7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21" t="str">
        <f>IF(H21="","",IF(OR(H21&lt;&gt;"RİLSİZ",H21=" "),IF(AND(SUM(I21:P21)&gt;='ANA VERİLER'!$C$81,SUM(I21:P21)&lt;='ANA VERİLER'!$C$82),SUM(I21:P21),"Levha eni minimum 300 mm - maksimum 2.500 mm olmalıdır!"),Q21))</f>
        <v/>
      </c>
      <c r="S21" s="58"/>
      <c r="T21" s="55" t="str">
        <f t="shared" si="0"/>
        <v/>
      </c>
      <c r="U21" s="7"/>
      <c r="V21" s="7"/>
      <c r="W21" s="24"/>
      <c r="X21" s="10"/>
      <c r="Y21" s="22" t="str">
        <f>+IFERROR(IF(E21="LİSTE",VLOOKUP(F21&amp;" "&amp;G21,'ANA VERİLER'!$E$16:$H$52,4,0)," ")," ")</f>
        <v xml:space="preserve"> </v>
      </c>
      <c r="Z21" s="23" t="str">
        <f>+IFERROR(VLOOKUP(F21&amp;" "&amp;G21,'ANA VERİLER'!$E$16:$I$52,5,0)," ")</f>
        <v xml:space="preserve"> </v>
      </c>
      <c r="AA21" s="7"/>
      <c r="AB21" s="7"/>
      <c r="AC21" s="48"/>
    </row>
    <row r="22" spans="2:29">
      <c r="B22" s="72" t="s">
        <v>38</v>
      </c>
      <c r="C22" s="7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21" t="str">
        <f>IF(H22="","",IF(OR(H22&lt;&gt;"RİLSİZ",H22=" "),IF(AND(SUM(I22:P22)&gt;='ANA VERİLER'!$C$81,SUM(I22:P22)&lt;='ANA VERİLER'!$C$82),SUM(I22:P22),"Levha eni minimum 300 mm - maksimum 2.500 mm olmalıdır!"),Q22))</f>
        <v/>
      </c>
      <c r="S22" s="58"/>
      <c r="T22" s="55" t="str">
        <f t="shared" si="0"/>
        <v/>
      </c>
      <c r="U22" s="7"/>
      <c r="V22" s="7"/>
      <c r="W22" s="24"/>
      <c r="X22" s="10"/>
      <c r="Y22" s="22" t="str">
        <f>+IFERROR(IF(E22="LİSTE",VLOOKUP(F22&amp;" "&amp;G22,'ANA VERİLER'!$E$16:$H$52,4,0)," ")," ")</f>
        <v xml:space="preserve"> </v>
      </c>
      <c r="Z22" s="23" t="str">
        <f>+IFERROR(VLOOKUP(F22&amp;" "&amp;G22,'ANA VERİLER'!$E$16:$I$52,5,0)," ")</f>
        <v xml:space="preserve"> </v>
      </c>
      <c r="AA22" s="7"/>
      <c r="AB22" s="7"/>
      <c r="AC22" s="48"/>
    </row>
    <row r="23" spans="2:29">
      <c r="B23" s="72" t="s">
        <v>176</v>
      </c>
      <c r="C23" s="77"/>
      <c r="D23" s="7"/>
      <c r="E23" s="7"/>
      <c r="F23" s="7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21" t="str">
        <f>IF(H23="","",IF(OR(H23&lt;&gt;"RİLSİZ",H23=" "),IF(AND(SUM(I23:P23)&gt;='ANA VERİLER'!$C$81,SUM(I23:P23)&lt;='ANA VERİLER'!$C$82),SUM(I23:P23),"Levha eni minimum 300 mm - maksimum 2.500 mm olmalıdır!"),Q23))</f>
        <v/>
      </c>
      <c r="S23" s="58"/>
      <c r="T23" s="55" t="str">
        <f t="shared" si="0"/>
        <v/>
      </c>
      <c r="U23" s="7"/>
      <c r="V23" s="7"/>
      <c r="W23" s="24"/>
      <c r="X23" s="10"/>
      <c r="Y23" s="22" t="str">
        <f>+IFERROR(IF(E23="LİSTE",VLOOKUP(F23&amp;" "&amp;G23,'ANA VERİLER'!$E$16:$H$52,4,0)," ")," ")</f>
        <v xml:space="preserve"> </v>
      </c>
      <c r="Z23" s="23" t="str">
        <f>+IFERROR(VLOOKUP(F23&amp;" "&amp;G23,'ANA VERİLER'!$E$16:$I$52,5,0)," ")</f>
        <v xml:space="preserve"> </v>
      </c>
      <c r="AA23" s="7"/>
      <c r="AB23" s="7"/>
      <c r="AC23" s="48"/>
    </row>
    <row r="24" spans="2:29">
      <c r="B24" s="72" t="s">
        <v>177</v>
      </c>
      <c r="C24" s="77"/>
      <c r="D24" s="7"/>
      <c r="E24" s="7"/>
      <c r="F24" s="7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21" t="str">
        <f>IF(H24="","",IF(OR(H24&lt;&gt;"RİLSİZ",H24=" "),IF(AND(SUM(I24:P24)&gt;='ANA VERİLER'!$C$81,SUM(I24:P24)&lt;='ANA VERİLER'!$C$82),SUM(I24:P24),"Levha eni minimum 300 mm - maksimum 2.500 mm olmalıdır!"),Q24))</f>
        <v/>
      </c>
      <c r="S24" s="58"/>
      <c r="T24" s="55" t="str">
        <f t="shared" si="0"/>
        <v/>
      </c>
      <c r="U24" s="7"/>
      <c r="V24" s="7"/>
      <c r="W24" s="24"/>
      <c r="X24" s="10"/>
      <c r="Y24" s="22" t="str">
        <f>+IFERROR(IF(E24="LİSTE",VLOOKUP(F24&amp;" "&amp;G24,'ANA VERİLER'!$E$16:$H$52,4,0)," ")," ")</f>
        <v xml:space="preserve"> </v>
      </c>
      <c r="Z24" s="23" t="str">
        <f>+IFERROR(VLOOKUP(F24&amp;" "&amp;G24,'ANA VERİLER'!$E$16:$I$52,5,0)," ")</f>
        <v xml:space="preserve"> </v>
      </c>
      <c r="AA24" s="7"/>
      <c r="AB24" s="7"/>
      <c r="AC24" s="48"/>
    </row>
    <row r="25" spans="2:29">
      <c r="B25" s="72" t="s">
        <v>178</v>
      </c>
      <c r="C25" s="77"/>
      <c r="D25" s="7"/>
      <c r="E25" s="7"/>
      <c r="F25" s="7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21" t="str">
        <f>IF(H25="","",IF(OR(H25&lt;&gt;"RİLSİZ",H25=" "),IF(AND(SUM(I25:P25)&gt;='ANA VERİLER'!$C$81,SUM(I25:P25)&lt;='ANA VERİLER'!$C$82),SUM(I25:P25),"Levha eni minimum 300 mm - maksimum 2.500 mm olmalıdır!"),Q25))</f>
        <v/>
      </c>
      <c r="S25" s="58"/>
      <c r="T25" s="55" t="str">
        <f t="shared" si="0"/>
        <v/>
      </c>
      <c r="U25" s="7"/>
      <c r="V25" s="7"/>
      <c r="W25" s="24"/>
      <c r="X25" s="10"/>
      <c r="Y25" s="22" t="str">
        <f>+IFERROR(IF(E25="LİSTE",VLOOKUP(F25&amp;" "&amp;G25,'ANA VERİLER'!$E$16:$H$52,4,0)," ")," ")</f>
        <v xml:space="preserve"> </v>
      </c>
      <c r="Z25" s="23" t="str">
        <f>+IFERROR(VLOOKUP(F25&amp;" "&amp;G25,'ANA VERİLER'!$E$16:$I$52,5,0)," ")</f>
        <v xml:space="preserve"> </v>
      </c>
      <c r="AA25" s="7"/>
      <c r="AB25" s="7"/>
      <c r="AC25" s="48"/>
    </row>
    <row r="26" spans="2:29">
      <c r="B26" s="72" t="s">
        <v>179</v>
      </c>
      <c r="C26" s="77"/>
      <c r="D26" s="7"/>
      <c r="E26" s="7"/>
      <c r="F26" s="7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21" t="str">
        <f>IF(H26="","",IF(OR(H26&lt;&gt;"RİLSİZ",H26=" "),IF(AND(SUM(I26:P26)&gt;='ANA VERİLER'!$C$81,SUM(I26:P26)&lt;='ANA VERİLER'!$C$82),SUM(I26:P26),"Levha eni minimum 300 mm - maksimum 2.500 mm olmalıdır!"),Q26))</f>
        <v/>
      </c>
      <c r="S26" s="58"/>
      <c r="T26" s="55" t="str">
        <f t="shared" si="0"/>
        <v/>
      </c>
      <c r="U26" s="7"/>
      <c r="V26" s="7"/>
      <c r="W26" s="24"/>
      <c r="X26" s="10"/>
      <c r="Y26" s="22" t="str">
        <f>+IFERROR(IF(E26="LİSTE",VLOOKUP(F26&amp;" "&amp;G26,'ANA VERİLER'!$E$16:$H$52,4,0)," ")," ")</f>
        <v xml:space="preserve"> </v>
      </c>
      <c r="Z26" s="23" t="str">
        <f>+IFERROR(VLOOKUP(F26&amp;" "&amp;G26,'ANA VERİLER'!$E$16:$I$52,5,0)," ")</f>
        <v xml:space="preserve"> </v>
      </c>
      <c r="AA26" s="7"/>
      <c r="AB26" s="7"/>
      <c r="AC26" s="48"/>
    </row>
    <row r="27" spans="2:29">
      <c r="B27" s="72" t="s">
        <v>180</v>
      </c>
      <c r="C27" s="77"/>
      <c r="D27" s="7"/>
      <c r="E27" s="7"/>
      <c r="F27" s="7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21" t="str">
        <f>IF(H27="","",IF(OR(H27&lt;&gt;"RİLSİZ",H27=" "),IF(AND(SUM(I27:P27)&gt;='ANA VERİLER'!$C$81,SUM(I27:P27)&lt;='ANA VERİLER'!$C$82),SUM(I27:P27),"Levha eni minimum 300 mm - maksimum 2.500 mm olmalıdır!"),Q27))</f>
        <v/>
      </c>
      <c r="S27" s="58"/>
      <c r="T27" s="55" t="str">
        <f t="shared" si="0"/>
        <v/>
      </c>
      <c r="U27" s="7"/>
      <c r="V27" s="7"/>
      <c r="W27" s="24"/>
      <c r="X27" s="10"/>
      <c r="Y27" s="22" t="str">
        <f>+IFERROR(IF(E27="LİSTE",VLOOKUP(F27&amp;" "&amp;G27,'ANA VERİLER'!$E$16:$H$52,4,0)," ")," ")</f>
        <v xml:space="preserve"> </v>
      </c>
      <c r="Z27" s="23" t="str">
        <f>+IFERROR(VLOOKUP(F27&amp;" "&amp;G27,'ANA VERİLER'!$E$16:$I$52,5,0)," ")</f>
        <v xml:space="preserve"> </v>
      </c>
      <c r="AA27" s="7"/>
      <c r="AB27" s="7"/>
      <c r="AC27" s="48"/>
    </row>
    <row r="28" spans="2:29">
      <c r="B28" s="72" t="s">
        <v>181</v>
      </c>
      <c r="C28" s="77"/>
      <c r="D28" s="7"/>
      <c r="E28" s="7"/>
      <c r="F28" s="7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21" t="str">
        <f>IF(H28="","",IF(OR(H28&lt;&gt;"RİLSİZ",H28=" "),IF(AND(SUM(I28:P28)&gt;='ANA VERİLER'!$C$81,SUM(I28:P28)&lt;='ANA VERİLER'!$C$82),SUM(I28:P28),"Levha eni minimum 300 mm - maksimum 2.500 mm olmalıdır!"),Q28))</f>
        <v/>
      </c>
      <c r="S28" s="58"/>
      <c r="T28" s="55" t="str">
        <f t="shared" si="0"/>
        <v/>
      </c>
      <c r="U28" s="7"/>
      <c r="V28" s="7"/>
      <c r="W28" s="24"/>
      <c r="X28" s="10"/>
      <c r="Y28" s="22" t="str">
        <f>+IFERROR(IF(E28="LİSTE",VLOOKUP(F28&amp;" "&amp;G28,'ANA VERİLER'!$E$16:$H$52,4,0)," ")," ")</f>
        <v xml:space="preserve"> </v>
      </c>
      <c r="Z28" s="23" t="str">
        <f>+IFERROR(VLOOKUP(F28&amp;" "&amp;G28,'ANA VERİLER'!$E$16:$I$52,5,0)," ")</f>
        <v xml:space="preserve"> </v>
      </c>
      <c r="AA28" s="7"/>
      <c r="AB28" s="7"/>
      <c r="AC28" s="48"/>
    </row>
    <row r="29" spans="2:29">
      <c r="B29" s="72" t="s">
        <v>182</v>
      </c>
      <c r="C29" s="77"/>
      <c r="D29" s="7"/>
      <c r="E29" s="7"/>
      <c r="F29" s="7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21" t="str">
        <f>IF(H29="","",IF(OR(H29&lt;&gt;"RİLSİZ",H29=" "),IF(AND(SUM(I29:P29)&gt;='ANA VERİLER'!$C$81,SUM(I29:P29)&lt;='ANA VERİLER'!$C$82),SUM(I29:P29),"Levha eni minimum 300 mm - maksimum 2.500 mm olmalıdır!"),Q29))</f>
        <v/>
      </c>
      <c r="S29" s="58"/>
      <c r="T29" s="55" t="str">
        <f t="shared" si="0"/>
        <v/>
      </c>
      <c r="U29" s="7"/>
      <c r="V29" s="7"/>
      <c r="W29" s="24"/>
      <c r="X29" s="10"/>
      <c r="Y29" s="22" t="str">
        <f>+IFERROR(IF(E29="LİSTE",VLOOKUP(F29&amp;" "&amp;G29,'ANA VERİLER'!$E$16:$H$52,4,0)," ")," ")</f>
        <v xml:space="preserve"> </v>
      </c>
      <c r="Z29" s="23" t="str">
        <f>+IFERROR(VLOOKUP(F29&amp;" "&amp;G29,'ANA VERİLER'!$E$16:$I$52,5,0)," ")</f>
        <v xml:space="preserve"> </v>
      </c>
      <c r="AA29" s="7"/>
      <c r="AB29" s="7"/>
      <c r="AC29" s="48"/>
    </row>
    <row r="30" spans="2:29">
      <c r="B30" s="72" t="s">
        <v>183</v>
      </c>
      <c r="C30" s="77"/>
      <c r="D30" s="7"/>
      <c r="E30" s="7"/>
      <c r="F30" s="7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21" t="str">
        <f>IF(H30="","",IF(OR(H30&lt;&gt;"RİLSİZ",H30=" "),IF(AND(SUM(I30:P30)&gt;='ANA VERİLER'!$C$81,SUM(I30:P30)&lt;='ANA VERİLER'!$C$82),SUM(I30:P30),"Levha eni minimum 300 mm - maksimum 2.500 mm olmalıdır!"),Q30))</f>
        <v/>
      </c>
      <c r="S30" s="58"/>
      <c r="T30" s="55" t="str">
        <f t="shared" si="0"/>
        <v/>
      </c>
      <c r="U30" s="7"/>
      <c r="V30" s="7"/>
      <c r="W30" s="24"/>
      <c r="X30" s="10"/>
      <c r="Y30" s="22" t="str">
        <f>+IFERROR(IF(E30="LİSTE",VLOOKUP(F30&amp;" "&amp;G30,'ANA VERİLER'!$E$16:$H$52,4,0)," ")," ")</f>
        <v xml:space="preserve"> </v>
      </c>
      <c r="Z30" s="23" t="str">
        <f>+IFERROR(VLOOKUP(F30&amp;" "&amp;G30,'ANA VERİLER'!$E$16:$I$52,5,0)," ")</f>
        <v xml:space="preserve"> </v>
      </c>
      <c r="AA30" s="7"/>
      <c r="AB30" s="7"/>
      <c r="AC30" s="48"/>
    </row>
    <row r="31" spans="2:29">
      <c r="B31" s="72" t="s">
        <v>184</v>
      </c>
      <c r="C31" s="77"/>
      <c r="D31" s="7"/>
      <c r="E31" s="7"/>
      <c r="F31" s="7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21" t="str">
        <f>IF(H31="","",IF(OR(H31&lt;&gt;"RİLSİZ",H31=" "),IF(AND(SUM(I31:P31)&gt;='ANA VERİLER'!$C$81,SUM(I31:P31)&lt;='ANA VERİLER'!$C$82),SUM(I31:P31),"Levha eni minimum 300 mm - maksimum 2.500 mm olmalıdır!"),Q31))</f>
        <v/>
      </c>
      <c r="S31" s="58"/>
      <c r="T31" s="55" t="str">
        <f t="shared" si="0"/>
        <v/>
      </c>
      <c r="U31" s="7"/>
      <c r="V31" s="7"/>
      <c r="W31" s="24"/>
      <c r="X31" s="10"/>
      <c r="Y31" s="22" t="str">
        <f>+IFERROR(IF(E31="LİSTE",VLOOKUP(F31&amp;" "&amp;G31,'ANA VERİLER'!$E$16:$H$52,4,0)," ")," ")</f>
        <v xml:space="preserve"> </v>
      </c>
      <c r="Z31" s="23" t="str">
        <f>+IFERROR(VLOOKUP(F31&amp;" "&amp;G31,'ANA VERİLER'!$E$16:$I$52,5,0)," ")</f>
        <v xml:space="preserve"> </v>
      </c>
      <c r="AA31" s="7"/>
      <c r="AB31" s="7"/>
      <c r="AC31" s="48"/>
    </row>
    <row r="32" spans="2:29">
      <c r="B32" s="72" t="s">
        <v>185</v>
      </c>
      <c r="C32" s="77"/>
      <c r="D32" s="7"/>
      <c r="E32" s="7"/>
      <c r="F32" s="7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21" t="str">
        <f>IF(H32="","",IF(OR(H32&lt;&gt;"RİLSİZ",H32=" "),IF(AND(SUM(I32:P32)&gt;='ANA VERİLER'!$C$81,SUM(I32:P32)&lt;='ANA VERİLER'!$C$82),SUM(I32:P32),"Levha eni minimum 300 mm - maksimum 2.500 mm olmalıdır!"),Q32))</f>
        <v/>
      </c>
      <c r="S32" s="58"/>
      <c r="T32" s="55" t="str">
        <f t="shared" si="0"/>
        <v/>
      </c>
      <c r="U32" s="7"/>
      <c r="V32" s="7"/>
      <c r="W32" s="24"/>
      <c r="X32" s="10"/>
      <c r="Y32" s="22" t="str">
        <f>+IFERROR(IF(E32="LİSTE",VLOOKUP(F32&amp;" "&amp;G32,'ANA VERİLER'!$E$16:$H$52,4,0)," ")," ")</f>
        <v xml:space="preserve"> </v>
      </c>
      <c r="Z32" s="23" t="str">
        <f>+IFERROR(VLOOKUP(F32&amp;" "&amp;G32,'ANA VERİLER'!$E$16:$I$52,5,0)," ")</f>
        <v xml:space="preserve"> </v>
      </c>
      <c r="AA32" s="7"/>
      <c r="AB32" s="7"/>
      <c r="AC32" s="48"/>
    </row>
    <row r="33" spans="2:29">
      <c r="B33" s="72" t="s">
        <v>186</v>
      </c>
      <c r="C33" s="77"/>
      <c r="D33" s="7"/>
      <c r="E33" s="7"/>
      <c r="F33" s="7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21" t="str">
        <f>IF(H33="","",IF(OR(H33&lt;&gt;"RİLSİZ",H33=" "),IF(AND(SUM(I33:P33)&gt;='ANA VERİLER'!$C$81,SUM(I33:P33)&lt;='ANA VERİLER'!$C$82),SUM(I33:P33),"Levha eni minimum 300 mm - maksimum 2.500 mm olmalıdır!"),Q33))</f>
        <v/>
      </c>
      <c r="S33" s="58"/>
      <c r="T33" s="55" t="str">
        <f t="shared" si="0"/>
        <v/>
      </c>
      <c r="U33" s="7"/>
      <c r="V33" s="7"/>
      <c r="W33" s="24"/>
      <c r="X33" s="10"/>
      <c r="Y33" s="22" t="str">
        <f>+IFERROR(IF(E33="LİSTE",VLOOKUP(F33&amp;" "&amp;G33,'ANA VERİLER'!$E$16:$H$52,4,0)," ")," ")</f>
        <v xml:space="preserve"> </v>
      </c>
      <c r="Z33" s="23" t="str">
        <f>+IFERROR(VLOOKUP(F33&amp;" "&amp;G33,'ANA VERİLER'!$E$16:$I$52,5,0)," ")</f>
        <v xml:space="preserve"> </v>
      </c>
      <c r="AA33" s="7"/>
      <c r="AB33" s="7"/>
      <c r="AC33" s="48"/>
    </row>
    <row r="34" spans="2:29">
      <c r="B34" s="72" t="s">
        <v>187</v>
      </c>
      <c r="C34" s="77"/>
      <c r="D34" s="7"/>
      <c r="E34" s="7"/>
      <c r="F34" s="7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21" t="str">
        <f>IF(H34="","",IF(OR(H34&lt;&gt;"RİLSİZ",H34=" "),IF(AND(SUM(I34:P34)&gt;='ANA VERİLER'!$C$81,SUM(I34:P34)&lt;='ANA VERİLER'!$C$82),SUM(I34:P34),"Levha eni minimum 300 mm - maksimum 2.500 mm olmalıdır!"),Q34))</f>
        <v/>
      </c>
      <c r="S34" s="58"/>
      <c r="T34" s="55" t="str">
        <f t="shared" si="0"/>
        <v/>
      </c>
      <c r="U34" s="7"/>
      <c r="V34" s="7"/>
      <c r="W34" s="24"/>
      <c r="X34" s="10"/>
      <c r="Y34" s="22" t="str">
        <f>+IFERROR(IF(E34="LİSTE",VLOOKUP(F34&amp;" "&amp;G34,'ANA VERİLER'!$E$16:$H$52,4,0)," ")," ")</f>
        <v xml:space="preserve"> </v>
      </c>
      <c r="Z34" s="23" t="str">
        <f>+IFERROR(VLOOKUP(F34&amp;" "&amp;G34,'ANA VERİLER'!$E$16:$I$52,5,0)," ")</f>
        <v xml:space="preserve"> </v>
      </c>
      <c r="AA34" s="7"/>
      <c r="AB34" s="7"/>
      <c r="AC34" s="48"/>
    </row>
    <row r="35" spans="2:29">
      <c r="B35" s="72" t="s">
        <v>188</v>
      </c>
      <c r="C35" s="77"/>
      <c r="D35" s="7"/>
      <c r="E35" s="7"/>
      <c r="F35" s="7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21" t="str">
        <f>IF(H35="","",IF(OR(H35&lt;&gt;"RİLSİZ",H35=" "),IF(AND(SUM(I35:P35)&gt;='ANA VERİLER'!$C$81,SUM(I35:P35)&lt;='ANA VERİLER'!$C$82),SUM(I35:P35),"Levha eni minimum 300 mm - maksimum 2.500 mm olmalıdır!"),Q35))</f>
        <v/>
      </c>
      <c r="S35" s="58"/>
      <c r="T35" s="55" t="str">
        <f t="shared" si="0"/>
        <v/>
      </c>
      <c r="U35" s="7"/>
      <c r="V35" s="7"/>
      <c r="W35" s="24"/>
      <c r="X35" s="10"/>
      <c r="Y35" s="22" t="str">
        <f>+IFERROR(IF(E35="LİSTE",VLOOKUP(F35&amp;" "&amp;G35,'ANA VERİLER'!$E$16:$H$52,4,0)," ")," ")</f>
        <v xml:space="preserve"> </v>
      </c>
      <c r="Z35" s="23" t="str">
        <f>+IFERROR(VLOOKUP(F35&amp;" "&amp;G35,'ANA VERİLER'!$E$16:$I$52,5,0)," ")</f>
        <v xml:space="preserve"> </v>
      </c>
      <c r="AA35" s="7"/>
      <c r="AB35" s="7"/>
      <c r="AC35" s="48"/>
    </row>
    <row r="36" spans="2:29">
      <c r="B36" s="72" t="s">
        <v>189</v>
      </c>
      <c r="C36" s="77"/>
      <c r="D36" s="7"/>
      <c r="E36" s="7"/>
      <c r="F36" s="7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21" t="str">
        <f>IF(H36="","",IF(OR(H36&lt;&gt;"RİLSİZ",H36=" "),IF(AND(SUM(I36:P36)&gt;='ANA VERİLER'!$C$81,SUM(I36:P36)&lt;='ANA VERİLER'!$C$82),SUM(I36:P36),"Levha eni minimum 300 mm - maksimum 2.500 mm olmalıdır!"),Q36))</f>
        <v/>
      </c>
      <c r="S36" s="58"/>
      <c r="T36" s="55" t="str">
        <f t="shared" si="0"/>
        <v/>
      </c>
      <c r="U36" s="7"/>
      <c r="V36" s="7"/>
      <c r="W36" s="24"/>
      <c r="X36" s="10"/>
      <c r="Y36" s="22" t="str">
        <f>+IFERROR(IF(E36="LİSTE",VLOOKUP(F36&amp;" "&amp;G36,'ANA VERİLER'!$E$16:$H$52,4,0)," ")," ")</f>
        <v xml:space="preserve"> </v>
      </c>
      <c r="Z36" s="23" t="str">
        <f>+IFERROR(VLOOKUP(F36&amp;" "&amp;G36,'ANA VERİLER'!$E$16:$I$52,5,0)," ")</f>
        <v xml:space="preserve"> </v>
      </c>
      <c r="AA36" s="7"/>
      <c r="AB36" s="7"/>
      <c r="AC36" s="48"/>
    </row>
    <row r="37" spans="2:29">
      <c r="B37" s="72" t="s">
        <v>190</v>
      </c>
      <c r="C37" s="7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21" t="str">
        <f>IF(H37="","",IF(OR(H37&lt;&gt;"RİLSİZ",H37=" "),IF(AND(SUM(I37:P37)&gt;='ANA VERİLER'!$C$81,SUM(I37:P37)&lt;='ANA VERİLER'!$C$82),SUM(I37:P37),"Levha eni minimum 300 mm - maksimum 2.500 mm olmalıdır!"),Q37))</f>
        <v/>
      </c>
      <c r="S37" s="58"/>
      <c r="T37" s="55" t="str">
        <f t="shared" si="0"/>
        <v/>
      </c>
      <c r="U37" s="7"/>
      <c r="V37" s="7"/>
      <c r="W37" s="24"/>
      <c r="X37" s="10"/>
      <c r="Y37" s="22" t="str">
        <f>+IFERROR(IF(E37="LİSTE",VLOOKUP(F37&amp;" "&amp;G37,'ANA VERİLER'!$E$16:$H$52,4,0)," ")," ")</f>
        <v xml:space="preserve"> </v>
      </c>
      <c r="Z37" s="23" t="str">
        <f>+IFERROR(VLOOKUP(F37&amp;" "&amp;G37,'ANA VERİLER'!$E$16:$I$52,5,0)," ")</f>
        <v xml:space="preserve"> </v>
      </c>
      <c r="AA37" s="7"/>
      <c r="AB37" s="7"/>
      <c r="AC37" s="48"/>
    </row>
    <row r="38" spans="2:29">
      <c r="B38" s="72" t="s">
        <v>191</v>
      </c>
      <c r="C38" s="7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21" t="str">
        <f>IF(H38="","",IF(OR(H38&lt;&gt;"RİLSİZ",H38=" "),IF(AND(SUM(I38:P38)&gt;='ANA VERİLER'!$C$81,SUM(I38:P38)&lt;='ANA VERİLER'!$C$82),SUM(I38:P38),"Levha eni minimum 300 mm - maksimum 2.500 mm olmalıdır!"),Q38))</f>
        <v/>
      </c>
      <c r="S38" s="58"/>
      <c r="T38" s="55" t="str">
        <f t="shared" si="0"/>
        <v/>
      </c>
      <c r="U38" s="7"/>
      <c r="V38" s="7"/>
      <c r="W38" s="24"/>
      <c r="X38" s="10"/>
      <c r="Y38" s="22" t="str">
        <f>+IFERROR(IF(E38="LİSTE",VLOOKUP(F38&amp;" "&amp;G38,'ANA VERİLER'!$E$16:$H$52,4,0)," ")," ")</f>
        <v xml:space="preserve"> </v>
      </c>
      <c r="Z38" s="23" t="str">
        <f>+IFERROR(VLOOKUP(F38&amp;" "&amp;G38,'ANA VERİLER'!$E$16:$I$52,5,0)," ")</f>
        <v xml:space="preserve"> </v>
      </c>
      <c r="AA38" s="7"/>
      <c r="AB38" s="7"/>
      <c r="AC38" s="48"/>
    </row>
    <row r="39" spans="2:29">
      <c r="B39" s="72" t="s">
        <v>192</v>
      </c>
      <c r="C39" s="7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21" t="str">
        <f>IF(H39="","",IF(OR(H39&lt;&gt;"RİLSİZ",H39=" "),IF(AND(SUM(I39:P39)&gt;='ANA VERİLER'!$C$81,SUM(I39:P39)&lt;='ANA VERİLER'!$C$82),SUM(I39:P39),"Levha eni minimum 300 mm - maksimum 2.500 mm olmalıdır!"),Q39))</f>
        <v/>
      </c>
      <c r="S39" s="58"/>
      <c r="T39" s="55" t="str">
        <f t="shared" si="0"/>
        <v/>
      </c>
      <c r="U39" s="7"/>
      <c r="V39" s="7"/>
      <c r="W39" s="24"/>
      <c r="X39" s="10"/>
      <c r="Y39" s="22" t="str">
        <f>+IFERROR(IF(E39="LİSTE",VLOOKUP(F39&amp;" "&amp;G39,'ANA VERİLER'!$E$16:$H$52,4,0)," ")," ")</f>
        <v xml:space="preserve"> </v>
      </c>
      <c r="Z39" s="23" t="str">
        <f>+IFERROR(VLOOKUP(F39&amp;" "&amp;G39,'ANA VERİLER'!$E$16:$I$52,5,0)," ")</f>
        <v xml:space="preserve"> </v>
      </c>
      <c r="AA39" s="7"/>
      <c r="AB39" s="7"/>
      <c r="AC39" s="48"/>
    </row>
    <row r="40" spans="2:29">
      <c r="B40" s="72" t="s">
        <v>193</v>
      </c>
      <c r="C40" s="7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21" t="str">
        <f>IF(H40="","",IF(OR(H40&lt;&gt;"RİLSİZ",H40=" "),IF(AND(SUM(I40:P40)&gt;='ANA VERİLER'!$C$81,SUM(I40:P40)&lt;='ANA VERİLER'!$C$82),SUM(I40:P40),"Levha eni minimum 300 mm - maksimum 2.500 mm olmalıdır!"),Q40))</f>
        <v/>
      </c>
      <c r="S40" s="58"/>
      <c r="T40" s="55" t="str">
        <f t="shared" si="0"/>
        <v/>
      </c>
      <c r="U40" s="7"/>
      <c r="V40" s="7"/>
      <c r="W40" s="24"/>
      <c r="X40" s="10"/>
      <c r="Y40" s="22" t="str">
        <f>+IFERROR(IF(E40="LİSTE",VLOOKUP(F40&amp;" "&amp;G40,'ANA VERİLER'!$E$16:$H$52,4,0)," ")," ")</f>
        <v xml:space="preserve"> </v>
      </c>
      <c r="Z40" s="23" t="str">
        <f>+IFERROR(VLOOKUP(F40&amp;" "&amp;G40,'ANA VERİLER'!$E$16:$I$52,5,0)," ")</f>
        <v xml:space="preserve"> </v>
      </c>
      <c r="AA40" s="7"/>
      <c r="AB40" s="7"/>
      <c r="AC40" s="48"/>
    </row>
    <row r="41" spans="2:29">
      <c r="B41" s="72" t="s">
        <v>194</v>
      </c>
      <c r="C41" s="7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21" t="str">
        <f>IF(H41="","",IF(OR(H41&lt;&gt;"RİLSİZ",H41=" "),IF(AND(SUM(I41:P41)&gt;='ANA VERİLER'!$C$81,SUM(I41:P41)&lt;='ANA VERİLER'!$C$82),SUM(I41:P41),"Levha eni minimum 300 mm - maksimum 2.500 mm olmalıdır!"),Q41))</f>
        <v/>
      </c>
      <c r="S41" s="58"/>
      <c r="T41" s="55" t="str">
        <f t="shared" si="0"/>
        <v/>
      </c>
      <c r="U41" s="7"/>
      <c r="V41" s="7"/>
      <c r="W41" s="24"/>
      <c r="X41" s="10"/>
      <c r="Y41" s="22" t="str">
        <f>+IFERROR(IF(E41="LİSTE",VLOOKUP(F41&amp;" "&amp;G41,'ANA VERİLER'!$E$16:$H$52,4,0)," ")," ")</f>
        <v xml:space="preserve"> </v>
      </c>
      <c r="Z41" s="23" t="str">
        <f>+IFERROR(VLOOKUP(F41&amp;" "&amp;G41,'ANA VERİLER'!$E$16:$I$52,5,0)," ")</f>
        <v xml:space="preserve"> </v>
      </c>
      <c r="AA41" s="7"/>
      <c r="AB41" s="7"/>
      <c r="AC41" s="48"/>
    </row>
    <row r="42" spans="2:29">
      <c r="B42" s="72" t="s">
        <v>195</v>
      </c>
      <c r="C42" s="7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21" t="str">
        <f>IF(H42="","",IF(OR(H42&lt;&gt;"RİLSİZ",H42=" "),IF(AND(SUM(I42:P42)&gt;='ANA VERİLER'!$C$81,SUM(I42:P42)&lt;='ANA VERİLER'!$C$82),SUM(I42:P42),"Levha eni minimum 300 mm - maksimum 2.500 mm olmalıdır!"),Q42))</f>
        <v/>
      </c>
      <c r="S42" s="58"/>
      <c r="T42" s="55" t="str">
        <f t="shared" si="0"/>
        <v/>
      </c>
      <c r="U42" s="7"/>
      <c r="V42" s="7"/>
      <c r="W42" s="24"/>
      <c r="X42" s="10"/>
      <c r="Y42" s="22" t="str">
        <f>+IFERROR(IF(E42="LİSTE",VLOOKUP(F42&amp;" "&amp;G42,'ANA VERİLER'!$E$16:$H$52,4,0)," ")," ")</f>
        <v xml:space="preserve"> </v>
      </c>
      <c r="Z42" s="23" t="str">
        <f>+IFERROR(VLOOKUP(F42&amp;" "&amp;G42,'ANA VERİLER'!$E$16:$I$52,5,0)," ")</f>
        <v xml:space="preserve"> </v>
      </c>
      <c r="AA42" s="7"/>
      <c r="AB42" s="7"/>
      <c r="AC42" s="48"/>
    </row>
    <row r="43" spans="2:29">
      <c r="B43" s="72" t="s">
        <v>196</v>
      </c>
      <c r="C43" s="7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21" t="str">
        <f>IF(H43="","",IF(OR(H43&lt;&gt;"RİLSİZ",H43=" "),IF(AND(SUM(I43:P43)&gt;='ANA VERİLER'!$C$81,SUM(I43:P43)&lt;='ANA VERİLER'!$C$82),SUM(I43:P43),"Levha eni minimum 300 mm - maksimum 2.500 mm olmalıdır!"),Q43))</f>
        <v/>
      </c>
      <c r="S43" s="58"/>
      <c r="T43" s="55" t="str">
        <f t="shared" si="0"/>
        <v/>
      </c>
      <c r="U43" s="7"/>
      <c r="V43" s="7"/>
      <c r="W43" s="24"/>
      <c r="X43" s="10"/>
      <c r="Y43" s="22" t="str">
        <f>+IFERROR(IF(E43="LİSTE",VLOOKUP(F43&amp;" "&amp;G43,'ANA VERİLER'!$E$16:$H$52,4,0)," ")," ")</f>
        <v xml:space="preserve"> </v>
      </c>
      <c r="Z43" s="23" t="str">
        <f>+IFERROR(VLOOKUP(F43&amp;" "&amp;G43,'ANA VERİLER'!$E$16:$I$52,5,0)," ")</f>
        <v xml:space="preserve"> </v>
      </c>
      <c r="AA43" s="7"/>
      <c r="AB43" s="7"/>
      <c r="AC43" s="48"/>
    </row>
    <row r="44" spans="2:29">
      <c r="B44" s="72" t="s">
        <v>197</v>
      </c>
      <c r="C44" s="7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21" t="str">
        <f>IF(H44="","",IF(OR(H44&lt;&gt;"RİLSİZ",H44=" "),IF(AND(SUM(I44:P44)&gt;='ANA VERİLER'!$C$81,SUM(I44:P44)&lt;='ANA VERİLER'!$C$82),SUM(I44:P44),"Levha eni minimum 300 mm - maksimum 2.500 mm olmalıdır!"),Q44))</f>
        <v/>
      </c>
      <c r="S44" s="58"/>
      <c r="T44" s="55" t="str">
        <f t="shared" si="0"/>
        <v/>
      </c>
      <c r="U44" s="7"/>
      <c r="V44" s="7"/>
      <c r="W44" s="24"/>
      <c r="X44" s="10"/>
      <c r="Y44" s="22" t="str">
        <f>+IFERROR(IF(E44="LİSTE",VLOOKUP(F44&amp;" "&amp;G44,'ANA VERİLER'!$E$16:$H$52,4,0)," ")," ")</f>
        <v xml:space="preserve"> </v>
      </c>
      <c r="Z44" s="23" t="str">
        <f>+IFERROR(VLOOKUP(F44&amp;" "&amp;G44,'ANA VERİLER'!$E$16:$I$52,5,0)," ")</f>
        <v xml:space="preserve"> </v>
      </c>
      <c r="AA44" s="7"/>
      <c r="AB44" s="7"/>
      <c r="AC44" s="48"/>
    </row>
    <row r="45" spans="2:29">
      <c r="B45" s="72" t="s">
        <v>198</v>
      </c>
      <c r="C45" s="7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21" t="str">
        <f>IF(H45="","",IF(OR(H45&lt;&gt;"RİLSİZ",H45=" "),IF(AND(SUM(I45:P45)&gt;='ANA VERİLER'!$C$81,SUM(I45:P45)&lt;='ANA VERİLER'!$C$82),SUM(I45:P45),"Levha eni minimum 300 mm - maksimum 2.500 mm olmalıdır!"),Q45))</f>
        <v/>
      </c>
      <c r="S45" s="58"/>
      <c r="T45" s="55" t="str">
        <f t="shared" si="0"/>
        <v/>
      </c>
      <c r="U45" s="7"/>
      <c r="V45" s="7"/>
      <c r="W45" s="24"/>
      <c r="X45" s="10"/>
      <c r="Y45" s="22" t="str">
        <f>+IFERROR(IF(E45="LİSTE",VLOOKUP(F45&amp;" "&amp;G45,'ANA VERİLER'!$E$16:$H$52,4,0)," ")," ")</f>
        <v xml:space="preserve"> </v>
      </c>
      <c r="Z45" s="23" t="str">
        <f>+IFERROR(VLOOKUP(F45&amp;" "&amp;G45,'ANA VERİLER'!$E$16:$I$52,5,0)," ")</f>
        <v xml:space="preserve"> </v>
      </c>
      <c r="AA45" s="7"/>
      <c r="AB45" s="7"/>
      <c r="AC45" s="48"/>
    </row>
    <row r="46" spans="2:29">
      <c r="B46" s="72" t="s">
        <v>199</v>
      </c>
      <c r="C46" s="7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21" t="str">
        <f>IF(H46="","",IF(OR(H46&lt;&gt;"RİLSİZ",H46=" "),IF(AND(SUM(I46:P46)&gt;='ANA VERİLER'!$C$81,SUM(I46:P46)&lt;='ANA VERİLER'!$C$82),SUM(I46:P46),"Levha eni minimum 300 mm - maksimum 2.500 mm olmalıdır!"),Q46))</f>
        <v/>
      </c>
      <c r="S46" s="58"/>
      <c r="T46" s="55" t="str">
        <f t="shared" si="0"/>
        <v/>
      </c>
      <c r="U46" s="7"/>
      <c r="V46" s="7"/>
      <c r="W46" s="24"/>
      <c r="X46" s="10"/>
      <c r="Y46" s="22" t="str">
        <f>+IFERROR(IF(E46="LİSTE",VLOOKUP(F46&amp;" "&amp;G46,'ANA VERİLER'!$E$16:$H$52,4,0)," ")," ")</f>
        <v xml:space="preserve"> </v>
      </c>
      <c r="Z46" s="23" t="str">
        <f>+IFERROR(VLOOKUP(F46&amp;" "&amp;G46,'ANA VERİLER'!$E$16:$I$52,5,0)," ")</f>
        <v xml:space="preserve"> </v>
      </c>
      <c r="AA46" s="7"/>
      <c r="AB46" s="7"/>
      <c r="AC46" s="48"/>
    </row>
    <row r="47" spans="2:29">
      <c r="B47" s="72" t="s">
        <v>200</v>
      </c>
      <c r="C47" s="7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21" t="str">
        <f>IF(H47="","",IF(OR(H47&lt;&gt;"RİLSİZ",H47=" "),IF(AND(SUM(I47:P47)&gt;='ANA VERİLER'!$C$81,SUM(I47:P47)&lt;='ANA VERİLER'!$C$82),SUM(I47:P47),"Levha eni minimum 300 mm - maksimum 2.500 mm olmalıdır!"),Q47))</f>
        <v/>
      </c>
      <c r="S47" s="58"/>
      <c r="T47" s="55" t="str">
        <f t="shared" si="0"/>
        <v/>
      </c>
      <c r="U47" s="7"/>
      <c r="V47" s="7"/>
      <c r="W47" s="24"/>
      <c r="X47" s="10"/>
      <c r="Y47" s="22" t="str">
        <f>+IFERROR(IF(E47="LİSTE",VLOOKUP(F47&amp;" "&amp;G47,'ANA VERİLER'!$E$16:$H$52,4,0)," ")," ")</f>
        <v xml:space="preserve"> </v>
      </c>
      <c r="Z47" s="23" t="str">
        <f>+IFERROR(VLOOKUP(F47&amp;" "&amp;G47,'ANA VERİLER'!$E$16:$I$52,5,0)," ")</f>
        <v xml:space="preserve"> </v>
      </c>
      <c r="AA47" s="7"/>
      <c r="AB47" s="7"/>
      <c r="AC47" s="48"/>
    </row>
    <row r="48" spans="2:29">
      <c r="B48" s="72" t="s">
        <v>201</v>
      </c>
      <c r="C48" s="7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21" t="str">
        <f>IF(H48="","",IF(OR(H48&lt;&gt;"RİLSİZ",H48=" "),IF(AND(SUM(I48:P48)&gt;='ANA VERİLER'!$C$81,SUM(I48:P48)&lt;='ANA VERİLER'!$C$82),SUM(I48:P48),"Levha eni minimum 300 mm - maksimum 2.500 mm olmalıdır!"),Q48))</f>
        <v/>
      </c>
      <c r="S48" s="58"/>
      <c r="T48" s="55" t="str">
        <f t="shared" si="0"/>
        <v/>
      </c>
      <c r="U48" s="7"/>
      <c r="V48" s="7"/>
      <c r="W48" s="24"/>
      <c r="X48" s="10"/>
      <c r="Y48" s="22" t="str">
        <f>+IFERROR(IF(E48="LİSTE",VLOOKUP(F48&amp;" "&amp;G48,'ANA VERİLER'!$E$16:$H$52,4,0)," ")," ")</f>
        <v xml:space="preserve"> </v>
      </c>
      <c r="Z48" s="23" t="str">
        <f>+IFERROR(VLOOKUP(F48&amp;" "&amp;G48,'ANA VERİLER'!$E$16:$I$52,5,0)," ")</f>
        <v xml:space="preserve"> </v>
      </c>
      <c r="AA48" s="7"/>
      <c r="AB48" s="7"/>
      <c r="AC48" s="48"/>
    </row>
    <row r="49" spans="2:29">
      <c r="B49" s="72" t="s">
        <v>202</v>
      </c>
      <c r="C49" s="7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21" t="str">
        <f>IF(H49="","",IF(OR(H49&lt;&gt;"RİLSİZ",H49=" "),IF(AND(SUM(I49:P49)&gt;='ANA VERİLER'!$C$81,SUM(I49:P49)&lt;='ANA VERİLER'!$C$82),SUM(I49:P49),"Levha eni minimum 300 mm - maksimum 2.500 mm olmalıdır!"),Q49))</f>
        <v/>
      </c>
      <c r="S49" s="58"/>
      <c r="T49" s="55" t="str">
        <f t="shared" si="0"/>
        <v/>
      </c>
      <c r="U49" s="7"/>
      <c r="V49" s="7"/>
      <c r="W49" s="24"/>
      <c r="X49" s="10"/>
      <c r="Y49" s="22" t="str">
        <f>+IFERROR(IF(E49="LİSTE",VLOOKUP(F49&amp;" "&amp;G49,'ANA VERİLER'!$E$16:$H$52,4,0)," ")," ")</f>
        <v xml:space="preserve"> </v>
      </c>
      <c r="Z49" s="23" t="str">
        <f>+IFERROR(VLOOKUP(F49&amp;" "&amp;G49,'ANA VERİLER'!$E$16:$I$52,5,0)," ")</f>
        <v xml:space="preserve"> </v>
      </c>
      <c r="AA49" s="7"/>
      <c r="AB49" s="7"/>
      <c r="AC49" s="48"/>
    </row>
    <row r="50" spans="2:29">
      <c r="B50" s="72" t="s">
        <v>203</v>
      </c>
      <c r="C50" s="7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21" t="str">
        <f>IF(H50="","",IF(OR(H50&lt;&gt;"RİLSİZ",H50=" "),IF(AND(SUM(I50:P50)&gt;='ANA VERİLER'!$C$81,SUM(I50:P50)&lt;='ANA VERİLER'!$C$82),SUM(I50:P50),"Levha eni minimum 300 mm - maksimum 2.500 mm olmalıdır!"),Q50))</f>
        <v/>
      </c>
      <c r="S50" s="58"/>
      <c r="T50" s="55" t="str">
        <f t="shared" si="0"/>
        <v/>
      </c>
      <c r="U50" s="7"/>
      <c r="V50" s="7"/>
      <c r="W50" s="24"/>
      <c r="X50" s="10"/>
      <c r="Y50" s="22" t="str">
        <f>+IFERROR(IF(E50="LİSTE",VLOOKUP(F50&amp;" "&amp;G50,'ANA VERİLER'!$E$16:$H$52,4,0)," ")," ")</f>
        <v xml:space="preserve"> </v>
      </c>
      <c r="Z50" s="23" t="str">
        <f>+IFERROR(VLOOKUP(F50&amp;" "&amp;G50,'ANA VERİLER'!$E$16:$I$52,5,0)," ")</f>
        <v xml:space="preserve"> </v>
      </c>
      <c r="AA50" s="7"/>
      <c r="AB50" s="7"/>
      <c r="AC50" s="48"/>
    </row>
    <row r="51" spans="2:29">
      <c r="B51" s="72" t="s">
        <v>204</v>
      </c>
      <c r="C51" s="7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21" t="str">
        <f>IF(H51="","",IF(OR(H51&lt;&gt;"RİLSİZ",H51=" "),IF(AND(SUM(I51:P51)&gt;='ANA VERİLER'!$C$81,SUM(I51:P51)&lt;='ANA VERİLER'!$C$82),SUM(I51:P51),"Levha eni minimum 300 mm - maksimum 2.500 mm olmalıdır!"),Q51))</f>
        <v/>
      </c>
      <c r="S51" s="58"/>
      <c r="T51" s="55" t="str">
        <f t="shared" si="0"/>
        <v/>
      </c>
      <c r="U51" s="7"/>
      <c r="V51" s="7"/>
      <c r="W51" s="24"/>
      <c r="X51" s="10"/>
      <c r="Y51" s="22" t="str">
        <f>+IFERROR(IF(E51="LİSTE",VLOOKUP(F51&amp;" "&amp;G51,'ANA VERİLER'!$E$16:$H$52,4,0)," ")," ")</f>
        <v xml:space="preserve"> </v>
      </c>
      <c r="Z51" s="23" t="str">
        <f>+IFERROR(VLOOKUP(F51&amp;" "&amp;G51,'ANA VERİLER'!$E$16:$I$52,5,0)," ")</f>
        <v xml:space="preserve"> </v>
      </c>
      <c r="AA51" s="7"/>
      <c r="AB51" s="7"/>
      <c r="AC51" s="48"/>
    </row>
    <row r="52" spans="2:29" ht="15" thickBot="1">
      <c r="B52" s="73" t="s">
        <v>205</v>
      </c>
      <c r="C52" s="78"/>
      <c r="D52" s="11"/>
      <c r="E52" s="11"/>
      <c r="F52" s="11"/>
      <c r="G52" s="4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50" t="str">
        <f>IF(H52="","",IF(OR(H52&lt;&gt;"RİLSİZ",H52=" "),IF(AND(SUM(I52:P52)&gt;='ANA VERİLER'!$C$81,SUM(I52:P52)&lt;='ANA VERİLER'!$C$82),SUM(I52:P52),"Levha eni minimum 300 mm - maksimum 2.500 mm olmalıdır!"),Q52))</f>
        <v/>
      </c>
      <c r="S52" s="59"/>
      <c r="T52" s="56" t="str">
        <f t="shared" si="0"/>
        <v/>
      </c>
      <c r="U52" s="11"/>
      <c r="V52" s="11"/>
      <c r="W52" s="25"/>
      <c r="X52" s="12"/>
      <c r="Y52" s="51" t="str">
        <f>+IFERROR(IF(E52="LİSTE",VLOOKUP(F52&amp;" "&amp;G52,'ANA VERİLER'!$E$16:$H$52,4,0)," ")," ")</f>
        <v xml:space="preserve"> </v>
      </c>
      <c r="Z52" s="52" t="str">
        <f>+IFERROR(VLOOKUP(F52&amp;" "&amp;G52,'ANA VERİLER'!$E$16:$I$52,5,0)," ")</f>
        <v xml:space="preserve"> </v>
      </c>
      <c r="AA52" s="11"/>
      <c r="AB52" s="11"/>
      <c r="AC52" s="53"/>
    </row>
  </sheetData>
  <sheetProtection sheet="1" objects="1" scenarios="1"/>
  <dataConsolidate/>
  <mergeCells count="1">
    <mergeCell ref="B1:AC1"/>
  </mergeCells>
  <phoneticPr fontId="5" type="noConversion"/>
  <conditionalFormatting sqref="R3:R52">
    <cfRule type="cellIs" dxfId="3" priority="3" operator="equal">
      <formula>0</formula>
    </cfRule>
    <cfRule type="cellIs" dxfId="2" priority="4" operator="equal">
      <formula>0</formula>
    </cfRule>
    <cfRule type="cellIs" dxfId="1" priority="5" operator="equal">
      <formula>0</formula>
    </cfRule>
  </conditionalFormatting>
  <conditionalFormatting sqref="I13:P52 I12:M12 O12:P12 I3:P11">
    <cfRule type="expression" dxfId="0" priority="1">
      <formula>IF(AND(MOD(I3,1)&lt;1,MOD(I3,1)&gt;0),1,0)</formula>
    </cfRule>
  </conditionalFormatting>
  <dataValidations count="10">
    <dataValidation type="custom" allowBlank="1" showInputMessage="1" showErrorMessage="1" errorTitle="UYARI" error="Min. 500 m2 üretim yapılabilmektedir! Lütfen sipariş adetini artırınız." sqref="X3:X52">
      <formula1>AND(((((R3*S3)/1000000)*X3)&gt;=500))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I3:I52">
      <formula1>AND(H3&lt;&gt;"RİLSİZ")</formula1>
    </dataValidation>
    <dataValidation type="custom" allowBlank="1" showInputMessage="1" showErrorMessage="1" errorTitle="Uyarı" error="Rilsiz ürünlere ril girişi yapamazsınız! Lütfen uygun Ril Tipi seçiniz ya da Levha En Rilsiz bilgisini doldurunuz." sqref="J3:J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K3:K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L3:L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M3:M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O3:O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P3:P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N3:N10 N13:N52">
      <formula1>AND(H3&lt;&gt;"RİLSİZ")</formula1>
    </dataValidation>
    <dataValidation type="custom" allowBlank="1" showInputMessage="1" showErrorMessage="1" errorTitle="UYARI" error="Rilsiz ürünlere ril girişi yapamazsınız! Lütfen uygun Ril Tipi seçiniz ya da Levha En Rilsiz bilgisini doldurunuz." sqref="N11">
      <formula1>AND(H12&lt;&gt;"RİLSİZ")</formula1>
    </dataValidation>
  </dataValidations>
  <pageMargins left="0.7" right="0.7" top="0.75" bottom="0.75" header="0.3" footer="0.3"/>
  <pageSetup paperSize="9" orientation="portrait" r:id="rId1"/>
  <drawing r:id="rId2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E75CA85-0845-4B89-9161-D13517D2906F}">
          <x14:formula1>
            <xm:f>OFFSET('ANA VERİLER'!$C$55,MATCH(E3,'ANA VERİLER'!$B$56:$B$60,0),0,COUNTIF('ANA VERİLER'!$B$56:$B$60,E3),1)</xm:f>
          </x14:formula1>
          <xm:sqref>F3:F52</xm:sqref>
        </x14:dataValidation>
        <x14:dataValidation type="list" allowBlank="1" showInputMessage="1" showErrorMessage="1" xr:uid="{9B78BF6E-42DB-4874-991E-15900F9BAAAD}">
          <x14:formula1>
            <xm:f>'ANA VERİLER'!$B$64:$B$65</xm:f>
          </x14:formula1>
          <xm:sqref>E3:E52</xm:sqref>
        </x14:dataValidation>
        <x14:dataValidation type="list" allowBlank="1" showInputMessage="1" showErrorMessage="1" xr:uid="{5F325EE4-2CB8-4A58-B7EC-AD8502824DAF}">
          <x14:formula1>
            <xm:f>'ANA VERİLER'!$B$91:$B$92</xm:f>
          </x14:formula1>
          <xm:sqref>AA3:AA52</xm:sqref>
        </x14:dataValidation>
        <x14:dataValidation type="list" allowBlank="1" showInputMessage="1" showErrorMessage="1" xr:uid="{7741C14B-8FB6-4785-8A0F-19F2D9965315}">
          <x14:formula1>
            <xm:f>'ANA VERİLER'!$B$96:$B$129</xm:f>
          </x14:formula1>
          <xm:sqref>V3:V52</xm:sqref>
        </x14:dataValidation>
        <x14:dataValidation type="custom" allowBlank="1" showInputMessage="1" showErrorMessage="1" errorTitle="UYARI!" error="Levha eni minimum 300 mm - maksimum 2.500 mm olmalıdır! Lütfen belirtilen ölçülerde değer giriniz." xr:uid="{47AC3B12-1FB8-452B-B7C4-0692234E8535}">
          <x14:formula1>
            <xm:f>AND(H3="RİLSİZ",Q3&gt;='ANA VERİLER'!$C$81,Q3&lt;='ANA VERİLER'!$C$82)</xm:f>
          </x14:formula1>
          <xm:sqref>Q3:Q52</xm:sqref>
        </x14:dataValidation>
        <x14:dataValidation type="custom" allowBlank="1" showInputMessage="1" showErrorMessage="1" errorTitle="UYARI" error="Levha eni minimum 300 mm - maksimum 2.500 mm olmalıdır! Lütfen belirtilen ölçülerde değer giriniz." xr:uid="{2F0C5DCD-6576-4266-8E3D-CA914EC1A516}">
          <x14:formula1>
            <xm:f>AND(R3&gt;='ANA VERİLER'!$C$81,R3&lt;='ANA VERİLER'!$C$82)</xm:f>
          </x14:formula1>
          <xm:sqref>R3:R52</xm:sqref>
        </x14:dataValidation>
        <x14:dataValidation type="list" allowBlank="1" showInputMessage="1" showErrorMessage="1" xr:uid="{1BB418F8-5F22-44FB-9F02-5C366C484A2E}">
          <x14:formula1>
            <xm:f>'ANA VERİLER'!$B$76:$B$78</xm:f>
          </x14:formula1>
          <xm:sqref>H3:H52</xm:sqref>
        </x14:dataValidation>
        <x14:dataValidation type="custom" allowBlank="1" showInputMessage="1" showErrorMessage="1" errorTitle="UYARI" error="Levha boyu minimum 650 mm - maksimum 4.000 mm olmalıdır! Lütfen belirtilen ölçülerde değer giriniz." xr:uid="{3BE4C1E8-D611-4DEE-93EE-01243A133121}">
          <x14:formula1>
            <xm:f>AND(S3&gt;='ANA VERİLER'!$E$81,S3&lt;='ANA VERİLER'!$E$82)</xm:f>
          </x14:formula1>
          <xm:sqref>S3:S52</xm:sqref>
        </x14:dataValidation>
        <x14:dataValidation type="list" allowBlank="1" showInputMessage="1" showErrorMessage="1" errorTitle="UYARI!" error="Lütfen Kalite Seçiniz!" xr:uid="{23FEA0EE-992F-45DC-9609-C1371D41CEE8}">
          <x14:formula1>
            <xm:f>IF(E3="LİSTE",OFFSET('ANA VERİLER'!$D$16,MATCH(F3,'ANA VERİLER'!$C$17:$C$52,0),0,COUNTIF('ANA VERİLER'!$C$17:$C$52,F3),1),"")</xm:f>
          </x14:formula1>
          <xm:sqref>G3:G52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ayfa2"/>
  <dimension ref="B1:J129"/>
  <sheetViews>
    <sheetView workbookViewId="0">
      <selection activeCell="E8" sqref="E8"/>
    </sheetView>
  </sheetViews>
  <sheetFormatPr defaultColWidth="8.81640625" defaultRowHeight="14.5"/>
  <cols>
    <col min="1" max="1" width="3.6328125" customWidth="1"/>
    <col min="2" max="2" width="30.08984375" customWidth="1"/>
    <col min="3" max="3" width="20.90625" customWidth="1"/>
    <col min="4" max="4" width="36.453125" customWidth="1"/>
    <col min="5" max="5" width="38" customWidth="1"/>
    <col min="6" max="6" width="17.08984375" customWidth="1"/>
    <col min="7" max="7" width="22.08984375" customWidth="1"/>
    <col min="8" max="8" width="16.08984375" bestFit="1" customWidth="1"/>
    <col min="9" max="9" width="12" bestFit="1" customWidth="1"/>
    <col min="14" max="14" width="9.81640625" customWidth="1"/>
  </cols>
  <sheetData>
    <row r="1" spans="2:10" ht="15.5">
      <c r="B1" s="84" t="s">
        <v>137</v>
      </c>
      <c r="C1" s="84"/>
    </row>
    <row r="3" spans="2:10" ht="15.5">
      <c r="B3" s="84" t="s">
        <v>133</v>
      </c>
      <c r="C3" s="84"/>
    </row>
    <row r="4" spans="2:10">
      <c r="B4" s="2" t="s">
        <v>78</v>
      </c>
      <c r="C4" s="2" t="s">
        <v>91</v>
      </c>
    </row>
    <row r="5" spans="2:10">
      <c r="B5" s="19" t="s">
        <v>234</v>
      </c>
      <c r="C5" s="1" t="s">
        <v>92</v>
      </c>
    </row>
    <row r="8" spans="2:10" ht="15.5">
      <c r="B8" s="87" t="s">
        <v>134</v>
      </c>
      <c r="C8" s="87"/>
      <c r="D8" s="87"/>
    </row>
    <row r="9" spans="2:10">
      <c r="B9" s="2" t="s">
        <v>83</v>
      </c>
      <c r="C9" s="2" t="s">
        <v>86</v>
      </c>
      <c r="D9" s="2" t="s">
        <v>89</v>
      </c>
    </row>
    <row r="10" spans="2:10">
      <c r="B10" s="6">
        <v>2000101</v>
      </c>
      <c r="C10" s="6" t="s">
        <v>84</v>
      </c>
      <c r="D10" s="1" t="s">
        <v>90</v>
      </c>
    </row>
    <row r="11" spans="2:10">
      <c r="B11" s="86">
        <v>2000103</v>
      </c>
      <c r="C11" s="86" t="s">
        <v>85</v>
      </c>
      <c r="D11" s="1" t="s">
        <v>87</v>
      </c>
    </row>
    <row r="12" spans="2:10">
      <c r="B12" s="86"/>
      <c r="C12" s="86"/>
      <c r="D12" s="1" t="s">
        <v>88</v>
      </c>
    </row>
    <row r="13" spans="2:10">
      <c r="B13" s="31"/>
      <c r="C13" s="31"/>
      <c r="D13" s="32"/>
      <c r="F13" s="34" t="s">
        <v>217</v>
      </c>
      <c r="G13" s="34" t="s">
        <v>218</v>
      </c>
    </row>
    <row r="14" spans="2:10">
      <c r="E14" s="34" t="s">
        <v>122</v>
      </c>
      <c r="F14" s="33"/>
      <c r="G14" s="33"/>
    </row>
    <row r="15" spans="2:10" ht="15.5">
      <c r="B15" s="84" t="s">
        <v>231</v>
      </c>
      <c r="C15" s="84"/>
      <c r="D15" s="84"/>
      <c r="E15" s="84"/>
      <c r="F15" s="84"/>
      <c r="G15" s="84"/>
      <c r="H15" s="84"/>
      <c r="I15" s="84"/>
      <c r="J15" s="84"/>
    </row>
    <row r="16" spans="2:10">
      <c r="B16" s="2" t="s">
        <v>121</v>
      </c>
      <c r="C16" s="2" t="s">
        <v>1</v>
      </c>
      <c r="D16" s="2" t="s">
        <v>0</v>
      </c>
      <c r="E16" s="2" t="s">
        <v>126</v>
      </c>
      <c r="F16" s="2" t="s">
        <v>123</v>
      </c>
      <c r="G16" s="2" t="s">
        <v>124</v>
      </c>
      <c r="H16" s="2" t="s">
        <v>125</v>
      </c>
      <c r="I16" s="2" t="s">
        <v>128</v>
      </c>
      <c r="J16" s="30" t="s">
        <v>216</v>
      </c>
    </row>
    <row r="17" spans="2:10">
      <c r="B17" s="1" t="s">
        <v>119</v>
      </c>
      <c r="C17" s="1" t="s">
        <v>8</v>
      </c>
      <c r="D17" s="1" t="s">
        <v>209</v>
      </c>
      <c r="E17" s="1" t="str">
        <f t="shared" ref="E17:E25" si="0">+C17&amp;" "&amp;D17</f>
        <v>E TL80 HPFL80 TL80</v>
      </c>
      <c r="F17" s="14">
        <v>12.97</v>
      </c>
      <c r="G17" s="15">
        <f t="shared" ref="G17:G52" si="1">IF(J17="STD",$F$14,$G$14)</f>
        <v>0</v>
      </c>
      <c r="H17" s="14">
        <f>ROUNDUP(F17*(1-G17),2)</f>
        <v>12.97</v>
      </c>
      <c r="I17" s="14" t="s">
        <v>127</v>
      </c>
      <c r="J17" s="1" t="s">
        <v>217</v>
      </c>
    </row>
    <row r="18" spans="2:10">
      <c r="B18" s="1" t="s">
        <v>119</v>
      </c>
      <c r="C18" s="1" t="s">
        <v>8</v>
      </c>
      <c r="D18" s="1" t="s">
        <v>208</v>
      </c>
      <c r="E18" s="1" t="str">
        <f t="shared" si="0"/>
        <v>E BTL110 HPFL80 TL80</v>
      </c>
      <c r="F18" s="14">
        <v>15.3</v>
      </c>
      <c r="G18" s="15">
        <f t="shared" si="1"/>
        <v>0</v>
      </c>
      <c r="H18" s="14">
        <f t="shared" ref="H18:H52" si="2">ROUNDUP(F18*(1-G18),2)</f>
        <v>15.3</v>
      </c>
      <c r="I18" s="14" t="s">
        <v>127</v>
      </c>
      <c r="J18" s="1" t="s">
        <v>217</v>
      </c>
    </row>
    <row r="19" spans="2:10">
      <c r="B19" s="1" t="s">
        <v>119</v>
      </c>
      <c r="C19" s="1" t="s">
        <v>8</v>
      </c>
      <c r="D19" s="1" t="s">
        <v>207</v>
      </c>
      <c r="E19" s="1" t="str">
        <f t="shared" si="0"/>
        <v>E KM100 HPFL100 KM100</v>
      </c>
      <c r="F19" s="14">
        <v>14.96</v>
      </c>
      <c r="G19" s="15">
        <f t="shared" si="1"/>
        <v>0</v>
      </c>
      <c r="H19" s="14">
        <f t="shared" si="2"/>
        <v>14.96</v>
      </c>
      <c r="I19" s="14" t="s">
        <v>127</v>
      </c>
      <c r="J19" s="1" t="s">
        <v>218</v>
      </c>
    </row>
    <row r="20" spans="2:10">
      <c r="B20" s="1" t="s">
        <v>119</v>
      </c>
      <c r="C20" s="1" t="s">
        <v>8</v>
      </c>
      <c r="D20" s="1" t="s">
        <v>210</v>
      </c>
      <c r="E20" s="1" t="str">
        <f t="shared" si="0"/>
        <v>E KM100 HPFL135 KM100</v>
      </c>
      <c r="F20" s="14">
        <v>16.760000000000002</v>
      </c>
      <c r="G20" s="15">
        <f t="shared" si="1"/>
        <v>0</v>
      </c>
      <c r="H20" s="14">
        <f t="shared" si="2"/>
        <v>16.760000000000002</v>
      </c>
      <c r="I20" s="14" t="s">
        <v>127</v>
      </c>
      <c r="J20" s="1" t="s">
        <v>218</v>
      </c>
    </row>
    <row r="21" spans="2:10">
      <c r="B21" s="1" t="s">
        <v>119</v>
      </c>
      <c r="C21" s="1" t="s">
        <v>9</v>
      </c>
      <c r="D21" s="1" t="s">
        <v>209</v>
      </c>
      <c r="E21" s="1" t="str">
        <f t="shared" si="0"/>
        <v>B TL80 HPFL80 TL80</v>
      </c>
      <c r="F21" s="14">
        <v>12.66</v>
      </c>
      <c r="G21" s="15">
        <f t="shared" si="1"/>
        <v>0</v>
      </c>
      <c r="H21" s="14">
        <f t="shared" si="2"/>
        <v>12.66</v>
      </c>
      <c r="I21" s="14" t="s">
        <v>127</v>
      </c>
      <c r="J21" s="1" t="s">
        <v>217</v>
      </c>
    </row>
    <row r="22" spans="2:10">
      <c r="B22" s="1" t="s">
        <v>119</v>
      </c>
      <c r="C22" s="1" t="s">
        <v>9</v>
      </c>
      <c r="D22" s="1" t="s">
        <v>208</v>
      </c>
      <c r="E22" s="1" t="str">
        <f t="shared" si="0"/>
        <v>B BTL110 HPFL80 TL80</v>
      </c>
      <c r="F22" s="14">
        <v>14.88</v>
      </c>
      <c r="G22" s="15">
        <f t="shared" si="1"/>
        <v>0</v>
      </c>
      <c r="H22" s="14">
        <f t="shared" si="2"/>
        <v>14.88</v>
      </c>
      <c r="I22" s="14" t="s">
        <v>127</v>
      </c>
      <c r="J22" s="1" t="s">
        <v>217</v>
      </c>
    </row>
    <row r="23" spans="2:10">
      <c r="B23" s="1" t="s">
        <v>119</v>
      </c>
      <c r="C23" s="1" t="s">
        <v>9</v>
      </c>
      <c r="D23" s="1" t="s">
        <v>207</v>
      </c>
      <c r="E23" s="1" t="str">
        <f t="shared" si="0"/>
        <v>B KM100 HPFL100 KM100</v>
      </c>
      <c r="F23" s="14">
        <v>14.91</v>
      </c>
      <c r="G23" s="15">
        <f t="shared" si="1"/>
        <v>0</v>
      </c>
      <c r="H23" s="14">
        <f t="shared" si="2"/>
        <v>14.91</v>
      </c>
      <c r="I23" s="14" t="s">
        <v>127</v>
      </c>
      <c r="J23" s="1" t="s">
        <v>218</v>
      </c>
    </row>
    <row r="24" spans="2:10">
      <c r="B24" s="1" t="s">
        <v>119</v>
      </c>
      <c r="C24" s="1" t="s">
        <v>9</v>
      </c>
      <c r="D24" s="1" t="s">
        <v>210</v>
      </c>
      <c r="E24" s="1" t="str">
        <f t="shared" si="0"/>
        <v>B KM100 HPFL135 KM100</v>
      </c>
      <c r="F24" s="14">
        <v>16.77</v>
      </c>
      <c r="G24" s="15">
        <f t="shared" si="1"/>
        <v>0</v>
      </c>
      <c r="H24" s="14">
        <f t="shared" si="2"/>
        <v>16.77</v>
      </c>
      <c r="I24" s="14" t="s">
        <v>127</v>
      </c>
      <c r="J24" s="1" t="s">
        <v>218</v>
      </c>
    </row>
    <row r="25" spans="2:10">
      <c r="B25" s="1" t="s">
        <v>119</v>
      </c>
      <c r="C25" s="1" t="s">
        <v>9</v>
      </c>
      <c r="D25" s="1" t="s">
        <v>211</v>
      </c>
      <c r="E25" s="1" t="str">
        <f t="shared" si="0"/>
        <v>B BTL110 HPFL115 KM100</v>
      </c>
      <c r="F25" s="14">
        <v>18.170000000000002</v>
      </c>
      <c r="G25" s="15">
        <f t="shared" si="1"/>
        <v>0</v>
      </c>
      <c r="H25" s="14">
        <f t="shared" si="2"/>
        <v>18.170000000000002</v>
      </c>
      <c r="I25" s="14" t="s">
        <v>127</v>
      </c>
      <c r="J25" s="1" t="s">
        <v>218</v>
      </c>
    </row>
    <row r="26" spans="2:10">
      <c r="B26" s="1" t="s">
        <v>119</v>
      </c>
      <c r="C26" s="1" t="s">
        <v>10</v>
      </c>
      <c r="D26" s="1" t="s">
        <v>209</v>
      </c>
      <c r="E26" s="1" t="str">
        <f t="shared" ref="E26" si="3">+C26&amp;" "&amp;D26</f>
        <v>C TL80 HPFL80 TL80</v>
      </c>
      <c r="F26" s="14">
        <v>13.03</v>
      </c>
      <c r="G26" s="15">
        <f t="shared" si="1"/>
        <v>0</v>
      </c>
      <c r="H26" s="14">
        <f t="shared" si="2"/>
        <v>13.03</v>
      </c>
      <c r="I26" s="14" t="s">
        <v>127</v>
      </c>
      <c r="J26" s="1" t="s">
        <v>217</v>
      </c>
    </row>
    <row r="27" spans="2:10">
      <c r="B27" s="1" t="s">
        <v>119</v>
      </c>
      <c r="C27" s="1" t="s">
        <v>10</v>
      </c>
      <c r="D27" s="1" t="s">
        <v>208</v>
      </c>
      <c r="E27" s="1" t="str">
        <f t="shared" ref="E27:E32" si="4">+C27&amp;" "&amp;D27</f>
        <v>C BTL110 HPFL80 TL80</v>
      </c>
      <c r="F27" s="14">
        <v>15.27</v>
      </c>
      <c r="G27" s="15">
        <f t="shared" si="1"/>
        <v>0</v>
      </c>
      <c r="H27" s="14">
        <f t="shared" si="2"/>
        <v>15.27</v>
      </c>
      <c r="I27" s="14" t="s">
        <v>127</v>
      </c>
      <c r="J27" s="1" t="s">
        <v>217</v>
      </c>
    </row>
    <row r="28" spans="2:10">
      <c r="B28" s="1" t="s">
        <v>119</v>
      </c>
      <c r="C28" s="1" t="s">
        <v>10</v>
      </c>
      <c r="D28" s="1" t="s">
        <v>207</v>
      </c>
      <c r="E28" s="1" t="str">
        <f t="shared" si="4"/>
        <v>C KM100 HPFL100 KM100</v>
      </c>
      <c r="F28" s="14">
        <v>15.34</v>
      </c>
      <c r="G28" s="15">
        <f t="shared" si="1"/>
        <v>0</v>
      </c>
      <c r="H28" s="14">
        <f t="shared" si="2"/>
        <v>15.34</v>
      </c>
      <c r="I28" s="14" t="s">
        <v>127</v>
      </c>
      <c r="J28" s="1" t="s">
        <v>218</v>
      </c>
    </row>
    <row r="29" spans="2:10">
      <c r="B29" s="1" t="s">
        <v>119</v>
      </c>
      <c r="C29" s="1" t="s">
        <v>10</v>
      </c>
      <c r="D29" s="1" t="s">
        <v>210</v>
      </c>
      <c r="E29" s="1" t="str">
        <f t="shared" si="4"/>
        <v>C KM100 HPFL135 KM100</v>
      </c>
      <c r="F29" s="14">
        <v>17.329999999999998</v>
      </c>
      <c r="G29" s="15">
        <f t="shared" si="1"/>
        <v>0</v>
      </c>
      <c r="H29" s="14">
        <f t="shared" si="2"/>
        <v>17.329999999999998</v>
      </c>
      <c r="I29" s="14" t="s">
        <v>127</v>
      </c>
      <c r="J29" s="1" t="s">
        <v>218</v>
      </c>
    </row>
    <row r="30" spans="2:10">
      <c r="B30" s="1" t="s">
        <v>119</v>
      </c>
      <c r="C30" s="1" t="s">
        <v>10</v>
      </c>
      <c r="D30" s="1" t="s">
        <v>213</v>
      </c>
      <c r="E30" s="1" t="str">
        <f t="shared" si="4"/>
        <v>C BTL110 HPFL135 KM100</v>
      </c>
      <c r="F30" s="14">
        <v>18.8</v>
      </c>
      <c r="G30" s="15">
        <f t="shared" si="1"/>
        <v>0</v>
      </c>
      <c r="H30" s="14">
        <f t="shared" si="2"/>
        <v>18.8</v>
      </c>
      <c r="I30" s="14" t="s">
        <v>127</v>
      </c>
      <c r="J30" s="1" t="s">
        <v>218</v>
      </c>
    </row>
    <row r="31" spans="2:10">
      <c r="B31" s="1" t="s">
        <v>119</v>
      </c>
      <c r="C31" s="1" t="s">
        <v>10</v>
      </c>
      <c r="D31" s="1" t="s">
        <v>212</v>
      </c>
      <c r="E31" s="1" t="str">
        <f t="shared" si="4"/>
        <v>C KM135 HPFL135 KM135</v>
      </c>
      <c r="F31" s="14">
        <v>20.36</v>
      </c>
      <c r="G31" s="15">
        <f t="shared" si="1"/>
        <v>0</v>
      </c>
      <c r="H31" s="14">
        <f t="shared" si="2"/>
        <v>20.36</v>
      </c>
      <c r="I31" s="14" t="s">
        <v>127</v>
      </c>
      <c r="J31" s="1" t="s">
        <v>218</v>
      </c>
    </row>
    <row r="32" spans="2:10">
      <c r="B32" s="1" t="s">
        <v>119</v>
      </c>
      <c r="C32" s="1" t="s">
        <v>10</v>
      </c>
      <c r="D32" s="1" t="s">
        <v>237</v>
      </c>
      <c r="E32" s="1" t="str">
        <f t="shared" si="4"/>
        <v>C KM135 HPFL160 KM135</v>
      </c>
      <c r="F32" s="14">
        <v>21.81</v>
      </c>
      <c r="G32" s="15">
        <f t="shared" si="1"/>
        <v>0</v>
      </c>
      <c r="H32" s="14">
        <f t="shared" si="2"/>
        <v>21.81</v>
      </c>
      <c r="I32" s="14" t="s">
        <v>127</v>
      </c>
      <c r="J32" s="1" t="s">
        <v>218</v>
      </c>
    </row>
    <row r="33" spans="2:10">
      <c r="B33" s="1" t="s">
        <v>119</v>
      </c>
      <c r="C33" s="1" t="s">
        <v>11</v>
      </c>
      <c r="D33" s="1" t="s">
        <v>214</v>
      </c>
      <c r="E33" s="1" t="str">
        <f t="shared" ref="E33" si="5">+C33&amp;" "&amp;D33</f>
        <v>EB TL80 HPFL80 HPFL80 HPFL80 TL80</v>
      </c>
      <c r="F33" s="14">
        <v>21.67</v>
      </c>
      <c r="G33" s="15">
        <f t="shared" si="1"/>
        <v>0</v>
      </c>
      <c r="H33" s="14">
        <f t="shared" si="2"/>
        <v>21.67</v>
      </c>
      <c r="I33" s="14" t="s">
        <v>127</v>
      </c>
      <c r="J33" s="1" t="s">
        <v>217</v>
      </c>
    </row>
    <row r="34" spans="2:10">
      <c r="B34" s="1" t="s">
        <v>119</v>
      </c>
      <c r="C34" s="1" t="s">
        <v>11</v>
      </c>
      <c r="D34" s="1" t="s">
        <v>215</v>
      </c>
      <c r="E34" s="1" t="str">
        <f>+C34&amp;" "&amp;D34</f>
        <v>EB BTL110 HPFL80 HPFL80 HPFL80 TL80</v>
      </c>
      <c r="F34" s="14">
        <v>24.13</v>
      </c>
      <c r="G34" s="15">
        <f t="shared" si="1"/>
        <v>0</v>
      </c>
      <c r="H34" s="14">
        <f t="shared" si="2"/>
        <v>24.13</v>
      </c>
      <c r="I34" s="14" t="s">
        <v>127</v>
      </c>
      <c r="J34" s="1" t="s">
        <v>217</v>
      </c>
    </row>
    <row r="35" spans="2:10">
      <c r="B35" s="1" t="s">
        <v>119</v>
      </c>
      <c r="C35" s="1" t="s">
        <v>11</v>
      </c>
      <c r="D35" s="1" t="s">
        <v>219</v>
      </c>
      <c r="E35" s="1" t="str">
        <f t="shared" ref="E35:E37" si="6">+C35&amp;" "&amp;D35</f>
        <v>EB HPFL80 HPFL80 HPFL80 TL80</v>
      </c>
      <c r="F35" s="14">
        <v>17.78</v>
      </c>
      <c r="G35" s="15">
        <f t="shared" si="1"/>
        <v>0</v>
      </c>
      <c r="H35" s="14">
        <f t="shared" si="2"/>
        <v>17.78</v>
      </c>
      <c r="I35" s="14" t="s">
        <v>127</v>
      </c>
      <c r="J35" s="1" t="s">
        <v>217</v>
      </c>
    </row>
    <row r="36" spans="2:10">
      <c r="B36" s="1" t="s">
        <v>119</v>
      </c>
      <c r="C36" s="1" t="s">
        <v>11</v>
      </c>
      <c r="D36" s="1" t="s">
        <v>220</v>
      </c>
      <c r="E36" s="1" t="str">
        <f t="shared" si="6"/>
        <v>EB BTL110 HPFL115 HPFL80 HPFL115 KM100</v>
      </c>
      <c r="F36" s="14">
        <v>26.68</v>
      </c>
      <c r="G36" s="15">
        <f t="shared" si="1"/>
        <v>0</v>
      </c>
      <c r="H36" s="14">
        <f t="shared" si="2"/>
        <v>26.68</v>
      </c>
      <c r="I36" s="14" t="s">
        <v>127</v>
      </c>
      <c r="J36" s="1" t="s">
        <v>218</v>
      </c>
    </row>
    <row r="37" spans="2:10">
      <c r="B37" s="1" t="s">
        <v>119</v>
      </c>
      <c r="C37" s="1" t="s">
        <v>11</v>
      </c>
      <c r="D37" s="1" t="s">
        <v>221</v>
      </c>
      <c r="E37" s="1" t="str">
        <f t="shared" si="6"/>
        <v>EB KM100 HPFL100 HPFL80 HPFL100 KM100</v>
      </c>
      <c r="F37" s="14">
        <v>23.57</v>
      </c>
      <c r="G37" s="15">
        <f t="shared" si="1"/>
        <v>0</v>
      </c>
      <c r="H37" s="14">
        <f t="shared" si="2"/>
        <v>23.57</v>
      </c>
      <c r="I37" s="14" t="s">
        <v>127</v>
      </c>
      <c r="J37" s="1" t="s">
        <v>218</v>
      </c>
    </row>
    <row r="38" spans="2:10">
      <c r="B38" s="1" t="s">
        <v>119</v>
      </c>
      <c r="C38" s="1" t="s">
        <v>11</v>
      </c>
      <c r="D38" s="1" t="s">
        <v>222</v>
      </c>
      <c r="E38" s="1" t="str">
        <f>+C38&amp;" "&amp;D38</f>
        <v>EB KM135 HPFL115 HPFL80 HPFL115 KM135</v>
      </c>
      <c r="F38" s="14">
        <v>28.19</v>
      </c>
      <c r="G38" s="15">
        <f t="shared" si="1"/>
        <v>0</v>
      </c>
      <c r="H38" s="14">
        <f t="shared" si="2"/>
        <v>28.19</v>
      </c>
      <c r="I38" s="14" t="s">
        <v>127</v>
      </c>
      <c r="J38" s="1" t="s">
        <v>218</v>
      </c>
    </row>
    <row r="39" spans="2:10">
      <c r="B39" s="1" t="s">
        <v>119</v>
      </c>
      <c r="C39" s="1" t="s">
        <v>11</v>
      </c>
      <c r="D39" s="1" t="s">
        <v>223</v>
      </c>
      <c r="E39" s="1" t="str">
        <f>+C39&amp;" "&amp;D39</f>
        <v>EB KM135 HPFL100 HPFL80 HPFL115 KM100</v>
      </c>
      <c r="F39" s="14">
        <v>25.97</v>
      </c>
      <c r="G39" s="15">
        <f t="shared" si="1"/>
        <v>0</v>
      </c>
      <c r="H39" s="14">
        <f t="shared" si="2"/>
        <v>25.97</v>
      </c>
      <c r="I39" s="14" t="s">
        <v>127</v>
      </c>
      <c r="J39" s="1" t="s">
        <v>218</v>
      </c>
    </row>
    <row r="40" spans="2:10">
      <c r="B40" s="1" t="s">
        <v>119</v>
      </c>
      <c r="C40" s="1" t="s">
        <v>12</v>
      </c>
      <c r="D40" s="1" t="s">
        <v>214</v>
      </c>
      <c r="E40" s="1" t="str">
        <f>+C40&amp;" "&amp;D40</f>
        <v>BC TL80 HPFL80 HPFL80 HPFL80 TL80</v>
      </c>
      <c r="F40" s="14">
        <v>20.96</v>
      </c>
      <c r="G40" s="15">
        <f t="shared" si="1"/>
        <v>0</v>
      </c>
      <c r="H40" s="14">
        <f t="shared" si="2"/>
        <v>20.96</v>
      </c>
      <c r="I40" s="14" t="s">
        <v>127</v>
      </c>
      <c r="J40" s="1" t="s">
        <v>217</v>
      </c>
    </row>
    <row r="41" spans="2:10">
      <c r="B41" s="1" t="s">
        <v>119</v>
      </c>
      <c r="C41" s="1" t="s">
        <v>12</v>
      </c>
      <c r="D41" s="1" t="s">
        <v>224</v>
      </c>
      <c r="E41" s="1" t="str">
        <f t="shared" ref="E41" si="7">+C41&amp;" "&amp;D41</f>
        <v>BC KM100 HPFL80 HPFL80 HPFL80 KM100</v>
      </c>
      <c r="F41" s="14">
        <v>21.9</v>
      </c>
      <c r="G41" s="15">
        <f t="shared" si="1"/>
        <v>0</v>
      </c>
      <c r="H41" s="14">
        <f t="shared" si="2"/>
        <v>21.9</v>
      </c>
      <c r="I41" s="14" t="s">
        <v>127</v>
      </c>
      <c r="J41" s="1" t="s">
        <v>217</v>
      </c>
    </row>
    <row r="42" spans="2:10">
      <c r="B42" s="1" t="s">
        <v>119</v>
      </c>
      <c r="C42" s="1" t="s">
        <v>12</v>
      </c>
      <c r="D42" s="1" t="s">
        <v>215</v>
      </c>
      <c r="E42" s="1" t="str">
        <f t="shared" ref="E42:E52" si="8">+C42&amp;" "&amp;D42</f>
        <v>BC BTL110 HPFL80 HPFL80 HPFL80 TL80</v>
      </c>
      <c r="F42" s="14">
        <v>23.66</v>
      </c>
      <c r="G42" s="15">
        <f t="shared" si="1"/>
        <v>0</v>
      </c>
      <c r="H42" s="14">
        <f t="shared" si="2"/>
        <v>23.66</v>
      </c>
      <c r="I42" s="14" t="s">
        <v>127</v>
      </c>
      <c r="J42" s="1" t="s">
        <v>217</v>
      </c>
    </row>
    <row r="43" spans="2:10">
      <c r="B43" s="1" t="s">
        <v>119</v>
      </c>
      <c r="C43" s="1" t="s">
        <v>12</v>
      </c>
      <c r="D43" s="1" t="s">
        <v>221</v>
      </c>
      <c r="E43" s="1" t="str">
        <f t="shared" si="8"/>
        <v>BC KM100 HPFL100 HPFL80 HPFL100 KM100</v>
      </c>
      <c r="F43" s="14">
        <v>23.22</v>
      </c>
      <c r="G43" s="15">
        <f t="shared" si="1"/>
        <v>0</v>
      </c>
      <c r="H43" s="14">
        <f t="shared" si="2"/>
        <v>23.22</v>
      </c>
      <c r="I43" s="14" t="s">
        <v>127</v>
      </c>
      <c r="J43" s="1" t="s">
        <v>218</v>
      </c>
    </row>
    <row r="44" spans="2:10">
      <c r="B44" s="1" t="s">
        <v>119</v>
      </c>
      <c r="C44" s="1" t="s">
        <v>12</v>
      </c>
      <c r="D44" s="1" t="s">
        <v>225</v>
      </c>
      <c r="E44" s="1" t="str">
        <f t="shared" si="8"/>
        <v>BC KM100 HPFL115 HPFL80 HPFL115 KM100</v>
      </c>
      <c r="F44" s="14">
        <v>24.8</v>
      </c>
      <c r="G44" s="15">
        <f t="shared" si="1"/>
        <v>0</v>
      </c>
      <c r="H44" s="14">
        <f t="shared" si="2"/>
        <v>24.8</v>
      </c>
      <c r="I44" s="14" t="s">
        <v>127</v>
      </c>
      <c r="J44" s="1" t="s">
        <v>218</v>
      </c>
    </row>
    <row r="45" spans="2:10">
      <c r="B45" s="1" t="s">
        <v>119</v>
      </c>
      <c r="C45" s="1" t="s">
        <v>12</v>
      </c>
      <c r="D45" s="1" t="s">
        <v>223</v>
      </c>
      <c r="E45" s="1" t="str">
        <f t="shared" si="8"/>
        <v>BC KM135 HPFL100 HPFL80 HPFL115 KM100</v>
      </c>
      <c r="F45" s="14">
        <v>25.43</v>
      </c>
      <c r="G45" s="15">
        <f t="shared" si="1"/>
        <v>0</v>
      </c>
      <c r="H45" s="14">
        <f t="shared" si="2"/>
        <v>25.43</v>
      </c>
      <c r="I45" s="14" t="s">
        <v>127</v>
      </c>
      <c r="J45" s="1" t="s">
        <v>218</v>
      </c>
    </row>
    <row r="46" spans="2:10">
      <c r="B46" s="1" t="s">
        <v>119</v>
      </c>
      <c r="C46" s="1" t="s">
        <v>12</v>
      </c>
      <c r="D46" s="1" t="s">
        <v>226</v>
      </c>
      <c r="E46" s="1" t="str">
        <f t="shared" si="8"/>
        <v>BC KM135 HPFL115 HPFL80 HPFL135 KM100</v>
      </c>
      <c r="F46" s="14">
        <v>27.13</v>
      </c>
      <c r="G46" s="15">
        <f t="shared" si="1"/>
        <v>0</v>
      </c>
      <c r="H46" s="14">
        <f t="shared" si="2"/>
        <v>27.13</v>
      </c>
      <c r="I46" s="14" t="s">
        <v>127</v>
      </c>
      <c r="J46" s="1" t="s">
        <v>218</v>
      </c>
    </row>
    <row r="47" spans="2:10">
      <c r="B47" s="1" t="s">
        <v>119</v>
      </c>
      <c r="C47" s="1" t="s">
        <v>12</v>
      </c>
      <c r="D47" s="1" t="s">
        <v>222</v>
      </c>
      <c r="E47" s="1" t="str">
        <f t="shared" si="8"/>
        <v>BC KM135 HPFL115 HPFL80 HPFL115 KM135</v>
      </c>
      <c r="F47" s="14">
        <v>27.53</v>
      </c>
      <c r="G47" s="15">
        <f t="shared" si="1"/>
        <v>0</v>
      </c>
      <c r="H47" s="14">
        <f t="shared" si="2"/>
        <v>27.53</v>
      </c>
      <c r="I47" s="14" t="s">
        <v>127</v>
      </c>
      <c r="J47" s="1" t="s">
        <v>218</v>
      </c>
    </row>
    <row r="48" spans="2:10">
      <c r="B48" s="1" t="s">
        <v>119</v>
      </c>
      <c r="C48" s="1" t="s">
        <v>12</v>
      </c>
      <c r="D48" s="1" t="s">
        <v>227</v>
      </c>
      <c r="E48" s="1" t="str">
        <f t="shared" si="8"/>
        <v>BC KM135 HPFL135 HPFL80 HPFL135 KM135</v>
      </c>
      <c r="F48" s="14">
        <v>29.5</v>
      </c>
      <c r="G48" s="15">
        <f t="shared" si="1"/>
        <v>0</v>
      </c>
      <c r="H48" s="14">
        <f t="shared" si="2"/>
        <v>29.5</v>
      </c>
      <c r="I48" s="14" t="s">
        <v>127</v>
      </c>
      <c r="J48" s="1" t="s">
        <v>218</v>
      </c>
    </row>
    <row r="49" spans="2:10">
      <c r="B49" s="1" t="s">
        <v>119</v>
      </c>
      <c r="C49" s="1" t="s">
        <v>12</v>
      </c>
      <c r="D49" s="1" t="s">
        <v>228</v>
      </c>
      <c r="E49" s="1" t="str">
        <f t="shared" si="8"/>
        <v>BC KM135 HPFL135 HPFL135 HPFL135 KM135</v>
      </c>
      <c r="F49" s="14">
        <v>31.7</v>
      </c>
      <c r="G49" s="15">
        <f t="shared" si="1"/>
        <v>0</v>
      </c>
      <c r="H49" s="14">
        <f t="shared" si="2"/>
        <v>31.7</v>
      </c>
      <c r="I49" s="14" t="s">
        <v>127</v>
      </c>
      <c r="J49" s="1" t="s">
        <v>218</v>
      </c>
    </row>
    <row r="50" spans="2:10">
      <c r="B50" s="1" t="s">
        <v>119</v>
      </c>
      <c r="C50" s="1" t="s">
        <v>12</v>
      </c>
      <c r="D50" s="1" t="s">
        <v>229</v>
      </c>
      <c r="E50" s="1" t="str">
        <f t="shared" si="8"/>
        <v>BC KM170 HPFL135 HPFL135 HPFL135 KM170</v>
      </c>
      <c r="F50" s="14">
        <v>34.299999999999997</v>
      </c>
      <c r="G50" s="15">
        <f t="shared" si="1"/>
        <v>0</v>
      </c>
      <c r="H50" s="14">
        <f t="shared" si="2"/>
        <v>34.299999999999997</v>
      </c>
      <c r="I50" s="14" t="s">
        <v>127</v>
      </c>
      <c r="J50" s="1" t="s">
        <v>218</v>
      </c>
    </row>
    <row r="51" spans="2:10">
      <c r="B51" s="1" t="s">
        <v>119</v>
      </c>
      <c r="C51" s="1" t="s">
        <v>12</v>
      </c>
      <c r="D51" s="1" t="s">
        <v>220</v>
      </c>
      <c r="E51" s="1" t="str">
        <f t="shared" si="8"/>
        <v>BC BTL110 HPFL115 HPFL80 HPFL115 KM100</v>
      </c>
      <c r="F51" s="14">
        <v>26.07</v>
      </c>
      <c r="G51" s="15">
        <f t="shared" si="1"/>
        <v>0</v>
      </c>
      <c r="H51" s="14">
        <f t="shared" si="2"/>
        <v>26.07</v>
      </c>
      <c r="I51" s="14" t="s">
        <v>127</v>
      </c>
      <c r="J51" s="1" t="s">
        <v>218</v>
      </c>
    </row>
    <row r="52" spans="2:10">
      <c r="B52" s="1" t="s">
        <v>119</v>
      </c>
      <c r="C52" s="1" t="s">
        <v>12</v>
      </c>
      <c r="D52" s="1" t="s">
        <v>230</v>
      </c>
      <c r="E52" s="1" t="str">
        <f t="shared" si="8"/>
        <v>BC BTL110 HPFL135 HPFL80 HPFL135 KM135</v>
      </c>
      <c r="F52" s="14">
        <v>30.94</v>
      </c>
      <c r="G52" s="15">
        <f t="shared" si="1"/>
        <v>0</v>
      </c>
      <c r="H52" s="14">
        <f t="shared" si="2"/>
        <v>30.94</v>
      </c>
      <c r="I52" s="14" t="s">
        <v>127</v>
      </c>
      <c r="J52" s="1" t="s">
        <v>218</v>
      </c>
    </row>
    <row r="54" spans="2:10" ht="15.5">
      <c r="B54" s="84" t="s">
        <v>129</v>
      </c>
      <c r="C54" s="84"/>
    </row>
    <row r="55" spans="2:10">
      <c r="B55" s="2" t="s">
        <v>121</v>
      </c>
      <c r="C55" s="2" t="s">
        <v>1</v>
      </c>
    </row>
    <row r="56" spans="2:10">
      <c r="B56" s="1" t="s">
        <v>119</v>
      </c>
      <c r="C56" s="1" t="s">
        <v>8</v>
      </c>
    </row>
    <row r="57" spans="2:10">
      <c r="B57" s="1" t="s">
        <v>119</v>
      </c>
      <c r="C57" s="1" t="s">
        <v>9</v>
      </c>
    </row>
    <row r="58" spans="2:10">
      <c r="B58" s="1" t="s">
        <v>119</v>
      </c>
      <c r="C58" s="1" t="s">
        <v>10</v>
      </c>
    </row>
    <row r="59" spans="2:10">
      <c r="B59" s="1" t="s">
        <v>119</v>
      </c>
      <c r="C59" s="1" t="s">
        <v>11</v>
      </c>
    </row>
    <row r="60" spans="2:10">
      <c r="B60" s="1" t="s">
        <v>119</v>
      </c>
      <c r="C60" s="1" t="s">
        <v>12</v>
      </c>
    </row>
    <row r="62" spans="2:10" ht="15.5">
      <c r="B62" s="16" t="s">
        <v>130</v>
      </c>
    </row>
    <row r="63" spans="2:10">
      <c r="B63" s="2" t="s">
        <v>121</v>
      </c>
    </row>
    <row r="64" spans="2:10">
      <c r="B64" s="1" t="s">
        <v>119</v>
      </c>
    </row>
    <row r="65" spans="2:5">
      <c r="B65" s="1" t="s">
        <v>120</v>
      </c>
    </row>
    <row r="67" spans="2:5" ht="15.5">
      <c r="B67" s="84" t="s">
        <v>131</v>
      </c>
      <c r="C67" s="84"/>
    </row>
    <row r="68" spans="2:5">
      <c r="B68" s="2" t="s">
        <v>80</v>
      </c>
      <c r="C68" s="2" t="s">
        <v>79</v>
      </c>
    </row>
    <row r="69" spans="2:5">
      <c r="B69" s="1">
        <v>1</v>
      </c>
      <c r="C69" s="1">
        <v>2500</v>
      </c>
    </row>
    <row r="70" spans="2:5">
      <c r="B70" s="1">
        <v>2</v>
      </c>
      <c r="C70" s="1">
        <v>2400</v>
      </c>
    </row>
    <row r="71" spans="2:5">
      <c r="B71" s="1">
        <v>3</v>
      </c>
      <c r="C71" s="1">
        <v>2200</v>
      </c>
    </row>
    <row r="72" spans="2:5">
      <c r="B72" s="1">
        <v>4</v>
      </c>
      <c r="C72" s="1">
        <v>1780</v>
      </c>
    </row>
    <row r="74" spans="2:5" ht="15.5">
      <c r="B74" s="84" t="s">
        <v>132</v>
      </c>
      <c r="C74" s="84"/>
      <c r="D74" s="84"/>
    </row>
    <row r="75" spans="2:5">
      <c r="B75" s="2" t="s">
        <v>2</v>
      </c>
      <c r="C75" s="2" t="s">
        <v>46</v>
      </c>
      <c r="D75" s="2" t="s">
        <v>77</v>
      </c>
    </row>
    <row r="76" spans="2:5">
      <c r="B76" s="1" t="s">
        <v>13</v>
      </c>
      <c r="C76" s="1" t="s">
        <v>47</v>
      </c>
      <c r="D76" s="1" t="s">
        <v>76</v>
      </c>
    </row>
    <row r="77" spans="2:5">
      <c r="B77" s="1" t="s">
        <v>236</v>
      </c>
      <c r="C77" s="1" t="s">
        <v>235</v>
      </c>
      <c r="D77" s="1" t="s">
        <v>76</v>
      </c>
    </row>
    <row r="78" spans="2:5">
      <c r="B78" s="1" t="s">
        <v>14</v>
      </c>
      <c r="C78" s="1" t="s">
        <v>48</v>
      </c>
      <c r="D78" s="1" t="s">
        <v>75</v>
      </c>
    </row>
    <row r="80" spans="2:5" ht="15.5">
      <c r="B80" s="84" t="s">
        <v>74</v>
      </c>
      <c r="C80" s="84"/>
      <c r="D80" s="84"/>
      <c r="E80" s="84"/>
    </row>
    <row r="81" spans="2:5">
      <c r="B81" s="1" t="s">
        <v>70</v>
      </c>
      <c r="C81" s="1">
        <v>300</v>
      </c>
      <c r="D81" s="1" t="s">
        <v>68</v>
      </c>
      <c r="E81" s="1">
        <v>650</v>
      </c>
    </row>
    <row r="82" spans="2:5">
      <c r="B82" s="1" t="s">
        <v>69</v>
      </c>
      <c r="C82" s="4">
        <v>2500</v>
      </c>
      <c r="D82" s="1" t="s">
        <v>67</v>
      </c>
      <c r="E82" s="4">
        <v>4000</v>
      </c>
    </row>
    <row r="85" spans="2:5" ht="15.5">
      <c r="B85" s="84" t="s">
        <v>135</v>
      </c>
      <c r="C85" s="84"/>
    </row>
    <row r="86" spans="2:5">
      <c r="B86" s="2" t="s">
        <v>6</v>
      </c>
      <c r="C86" s="2" t="s">
        <v>81</v>
      </c>
      <c r="D86" s="2" t="s">
        <v>117</v>
      </c>
      <c r="E86" s="2" t="s">
        <v>139</v>
      </c>
    </row>
    <row r="87" spans="2:5">
      <c r="B87" s="1" t="s">
        <v>118</v>
      </c>
      <c r="C87" s="19" t="s">
        <v>234</v>
      </c>
      <c r="D87" s="18" t="s">
        <v>141</v>
      </c>
      <c r="E87" s="13" t="s">
        <v>140</v>
      </c>
    </row>
    <row r="89" spans="2:5" ht="15.5">
      <c r="B89" s="16" t="s">
        <v>16</v>
      </c>
    </row>
    <row r="90" spans="2:5">
      <c r="B90" s="2" t="s">
        <v>16</v>
      </c>
    </row>
    <row r="91" spans="2:5">
      <c r="B91" s="1" t="s">
        <v>17</v>
      </c>
    </row>
    <row r="92" spans="2:5">
      <c r="B92" s="1" t="s">
        <v>15</v>
      </c>
    </row>
    <row r="94" spans="2:5" ht="15.5">
      <c r="B94" s="84" t="s">
        <v>136</v>
      </c>
      <c r="C94" s="85"/>
    </row>
    <row r="95" spans="2:5">
      <c r="B95" s="35" t="s">
        <v>7</v>
      </c>
      <c r="C95" s="2" t="s">
        <v>46</v>
      </c>
      <c r="D95" s="32"/>
    </row>
    <row r="96" spans="2:5">
      <c r="B96" s="37" t="s">
        <v>142</v>
      </c>
      <c r="C96" s="3" t="s">
        <v>93</v>
      </c>
      <c r="D96" s="36"/>
    </row>
    <row r="97" spans="2:4">
      <c r="B97" s="37" t="s">
        <v>143</v>
      </c>
      <c r="C97" s="3" t="s">
        <v>94</v>
      </c>
      <c r="D97" s="36"/>
    </row>
    <row r="98" spans="2:4">
      <c r="B98" s="37" t="s">
        <v>144</v>
      </c>
      <c r="C98" s="3" t="s">
        <v>95</v>
      </c>
      <c r="D98" s="32"/>
    </row>
    <row r="99" spans="2:4">
      <c r="B99" s="37" t="s">
        <v>145</v>
      </c>
      <c r="C99" s="3" t="s">
        <v>49</v>
      </c>
      <c r="D99" s="32"/>
    </row>
    <row r="100" spans="2:4">
      <c r="B100" s="37" t="s">
        <v>146</v>
      </c>
      <c r="C100" s="3" t="s">
        <v>50</v>
      </c>
    </row>
    <row r="101" spans="2:4">
      <c r="B101" s="37" t="s">
        <v>147</v>
      </c>
      <c r="C101" s="3" t="s">
        <v>51</v>
      </c>
    </row>
    <row r="102" spans="2:4">
      <c r="B102" s="37" t="s">
        <v>148</v>
      </c>
      <c r="C102" s="3" t="s">
        <v>96</v>
      </c>
    </row>
    <row r="103" spans="2:4">
      <c r="B103" s="1" t="s">
        <v>149</v>
      </c>
      <c r="C103" s="38" t="s">
        <v>52</v>
      </c>
    </row>
    <row r="104" spans="2:4">
      <c r="B104" s="1" t="s">
        <v>150</v>
      </c>
      <c r="C104" s="3" t="s">
        <v>97</v>
      </c>
    </row>
    <row r="105" spans="2:4">
      <c r="B105" s="1" t="s">
        <v>151</v>
      </c>
      <c r="C105" s="3" t="s">
        <v>53</v>
      </c>
    </row>
    <row r="106" spans="2:4">
      <c r="B106" s="1" t="s">
        <v>152</v>
      </c>
      <c r="C106" s="3" t="s">
        <v>54</v>
      </c>
    </row>
    <row r="107" spans="2:4">
      <c r="B107" s="1" t="s">
        <v>153</v>
      </c>
      <c r="C107" s="3" t="s">
        <v>98</v>
      </c>
    </row>
    <row r="108" spans="2:4">
      <c r="B108" s="1" t="s">
        <v>154</v>
      </c>
      <c r="C108" s="3" t="s">
        <v>55</v>
      </c>
    </row>
    <row r="109" spans="2:4">
      <c r="B109" s="1" t="s">
        <v>155</v>
      </c>
      <c r="C109" s="3" t="s">
        <v>56</v>
      </c>
    </row>
    <row r="110" spans="2:4">
      <c r="B110" s="1" t="s">
        <v>156</v>
      </c>
      <c r="C110" s="3" t="s">
        <v>57</v>
      </c>
    </row>
    <row r="111" spans="2:4">
      <c r="B111" s="1" t="s">
        <v>157</v>
      </c>
      <c r="C111" s="3" t="s">
        <v>58</v>
      </c>
    </row>
    <row r="112" spans="2:4">
      <c r="B112" s="1" t="s">
        <v>158</v>
      </c>
      <c r="C112" s="3" t="s">
        <v>59</v>
      </c>
    </row>
    <row r="113" spans="2:3">
      <c r="B113" s="1" t="s">
        <v>159</v>
      </c>
      <c r="C113" s="3" t="s">
        <v>99</v>
      </c>
    </row>
    <row r="114" spans="2:3">
      <c r="B114" s="1" t="s">
        <v>160</v>
      </c>
      <c r="C114" s="3" t="s">
        <v>100</v>
      </c>
    </row>
    <row r="115" spans="2:3">
      <c r="B115" s="1" t="s">
        <v>161</v>
      </c>
      <c r="C115" s="3" t="s">
        <v>101</v>
      </c>
    </row>
    <row r="116" spans="2:3">
      <c r="B116" s="1" t="s">
        <v>162</v>
      </c>
      <c r="C116" s="3" t="s">
        <v>102</v>
      </c>
    </row>
    <row r="117" spans="2:3">
      <c r="B117" s="1" t="s">
        <v>163</v>
      </c>
      <c r="C117" s="3" t="s">
        <v>103</v>
      </c>
    </row>
    <row r="118" spans="2:3">
      <c r="B118" s="1" t="s">
        <v>164</v>
      </c>
      <c r="C118" s="3" t="s">
        <v>104</v>
      </c>
    </row>
    <row r="119" spans="2:3">
      <c r="B119" s="1" t="s">
        <v>165</v>
      </c>
      <c r="C119" s="3" t="s">
        <v>105</v>
      </c>
    </row>
    <row r="120" spans="2:3">
      <c r="B120" s="1" t="s">
        <v>166</v>
      </c>
      <c r="C120" s="3" t="s">
        <v>106</v>
      </c>
    </row>
    <row r="121" spans="2:3">
      <c r="B121" s="1" t="s">
        <v>167</v>
      </c>
      <c r="C121" s="3" t="s">
        <v>107</v>
      </c>
    </row>
    <row r="122" spans="2:3">
      <c r="B122" s="1" t="s">
        <v>168</v>
      </c>
      <c r="C122" s="3" t="s">
        <v>60</v>
      </c>
    </row>
    <row r="123" spans="2:3">
      <c r="B123" s="1" t="s">
        <v>169</v>
      </c>
      <c r="C123" s="3" t="s">
        <v>108</v>
      </c>
    </row>
    <row r="124" spans="2:3">
      <c r="B124" s="1" t="s">
        <v>170</v>
      </c>
      <c r="C124" s="3" t="s">
        <v>61</v>
      </c>
    </row>
    <row r="125" spans="2:3">
      <c r="B125" s="1" t="s">
        <v>171</v>
      </c>
      <c r="C125" s="3" t="s">
        <v>109</v>
      </c>
    </row>
    <row r="126" spans="2:3">
      <c r="B126" s="1" t="s">
        <v>172</v>
      </c>
      <c r="C126" s="3" t="s">
        <v>110</v>
      </c>
    </row>
    <row r="127" spans="2:3">
      <c r="B127" s="1" t="s">
        <v>173</v>
      </c>
      <c r="C127" s="3" t="s">
        <v>111</v>
      </c>
    </row>
    <row r="128" spans="2:3">
      <c r="B128" s="1" t="s">
        <v>174</v>
      </c>
      <c r="C128" s="1" t="s">
        <v>112</v>
      </c>
    </row>
    <row r="129" spans="2:3">
      <c r="B129" s="1" t="s">
        <v>175</v>
      </c>
      <c r="C129" s="1" t="s">
        <v>113</v>
      </c>
    </row>
  </sheetData>
  <sheetProtection sheet="1" objects="1" scenarios="1"/>
  <mergeCells count="12">
    <mergeCell ref="B1:C1"/>
    <mergeCell ref="B94:C94"/>
    <mergeCell ref="B85:C85"/>
    <mergeCell ref="B74:D74"/>
    <mergeCell ref="B67:C67"/>
    <mergeCell ref="B54:C54"/>
    <mergeCell ref="C11:C12"/>
    <mergeCell ref="B11:B12"/>
    <mergeCell ref="B8:D8"/>
    <mergeCell ref="B3:C3"/>
    <mergeCell ref="B15:J15"/>
    <mergeCell ref="B80:E8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ayfa3"/>
  <dimension ref="B1:D3"/>
  <sheetViews>
    <sheetView workbookViewId="0">
      <selection activeCell="E11" sqref="E11"/>
    </sheetView>
  </sheetViews>
  <sheetFormatPr defaultColWidth="8.81640625" defaultRowHeight="14.5"/>
  <cols>
    <col min="2" max="2" width="17.08984375" customWidth="1"/>
    <col min="3" max="3" width="15.453125" bestFit="1" customWidth="1"/>
    <col min="4" max="4" width="13.81640625" customWidth="1"/>
    <col min="5" max="5" width="29.453125" customWidth="1"/>
  </cols>
  <sheetData>
    <row r="1" spans="2:4" ht="16" thickBot="1">
      <c r="B1" s="88" t="s">
        <v>138</v>
      </c>
      <c r="C1" s="89"/>
    </row>
    <row r="2" spans="2:4" ht="15.5">
      <c r="B2" s="26" t="s">
        <v>71</v>
      </c>
      <c r="C2" s="27" t="s">
        <v>72</v>
      </c>
      <c r="D2" s="28" t="s">
        <v>73</v>
      </c>
    </row>
    <row r="3" spans="2:4" ht="15" thickBot="1">
      <c r="B3" s="29" t="s">
        <v>238</v>
      </c>
      <c r="C3" s="17" t="s">
        <v>239</v>
      </c>
      <c r="D3" s="5"/>
    </row>
  </sheetData>
  <sheetProtection sheet="1" objects="1" scenarios="1"/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SİPARİŞ FORMU</vt:lpstr>
      <vt:lpstr>ANA VERİLER</vt:lpstr>
      <vt:lpstr>GEÇERLİLİK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Havva Büşra Esen</dc:creator>
  <cp:lastModifiedBy>ASUS</cp:lastModifiedBy>
  <dcterms:created xsi:type="dcterms:W3CDTF">2015-06-05T18:19:34Z</dcterms:created>
  <dcterms:modified xsi:type="dcterms:W3CDTF">2026-07-19T07:15:25Z</dcterms:modified>
</cp:coreProperties>
</file>